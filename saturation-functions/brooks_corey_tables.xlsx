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di\Project\"/>
    </mc:Choice>
  </mc:AlternateContent>
  <xr:revisionPtr revIDLastSave="0" documentId="13_ncr:1_{55AA1551-A08F-4FA2-AE7A-0CDD816CF389}" xr6:coauthVersionLast="47" xr6:coauthVersionMax="47" xr10:uidLastSave="{00000000-0000-0000-0000-000000000000}"/>
  <bookViews>
    <workbookView xWindow="28680" yWindow="-120" windowWidth="29040" windowHeight="17520" xr2:uid="{77501722-2768-43A9-9BBD-8F13F945D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1" l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67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42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17" i="1"/>
  <c r="C17" i="1"/>
  <c r="E37" i="1"/>
  <c r="E73" i="1"/>
  <c r="E74" i="1"/>
  <c r="E75" i="1"/>
  <c r="E76" i="1"/>
  <c r="E77" i="1"/>
  <c r="H68" i="1"/>
  <c r="E68" i="1" s="1"/>
  <c r="H69" i="1"/>
  <c r="E69" i="1" s="1"/>
  <c r="H70" i="1"/>
  <c r="E70" i="1" s="1"/>
  <c r="H71" i="1"/>
  <c r="E71" i="1" s="1"/>
  <c r="H72" i="1"/>
  <c r="E72" i="1" s="1"/>
  <c r="H73" i="1"/>
  <c r="H74" i="1"/>
  <c r="H75" i="1"/>
  <c r="H76" i="1"/>
  <c r="H77" i="1"/>
  <c r="H78" i="1"/>
  <c r="E78" i="1" s="1"/>
  <c r="H79" i="1"/>
  <c r="E79" i="1" s="1"/>
  <c r="H80" i="1"/>
  <c r="E80" i="1" s="1"/>
  <c r="H81" i="1"/>
  <c r="E81" i="1" s="1"/>
  <c r="H82" i="1"/>
  <c r="E82" i="1" s="1"/>
  <c r="H83" i="1"/>
  <c r="E83" i="1" s="1"/>
  <c r="H84" i="1"/>
  <c r="E84" i="1" s="1"/>
  <c r="H85" i="1"/>
  <c r="E85" i="1" s="1"/>
  <c r="H86" i="1"/>
  <c r="E86" i="1" s="1"/>
  <c r="H87" i="1"/>
  <c r="E87" i="1" s="1"/>
  <c r="B68" i="1"/>
  <c r="C68" i="1" s="1"/>
  <c r="G68" i="1" s="1"/>
  <c r="B69" i="1"/>
  <c r="C69" i="1" s="1"/>
  <c r="G69" i="1" s="1"/>
  <c r="B70" i="1"/>
  <c r="C70" i="1" s="1"/>
  <c r="G70" i="1" s="1"/>
  <c r="B71" i="1"/>
  <c r="C71" i="1" s="1"/>
  <c r="G71" i="1" s="1"/>
  <c r="B72" i="1"/>
  <c r="C72" i="1" s="1"/>
  <c r="G72" i="1" s="1"/>
  <c r="B73" i="1"/>
  <c r="C73" i="1" s="1"/>
  <c r="G73" i="1" s="1"/>
  <c r="B74" i="1"/>
  <c r="C74" i="1" s="1"/>
  <c r="G74" i="1" s="1"/>
  <c r="B75" i="1"/>
  <c r="C75" i="1" s="1"/>
  <c r="G75" i="1" s="1"/>
  <c r="B76" i="1"/>
  <c r="C76" i="1" s="1"/>
  <c r="G76" i="1" s="1"/>
  <c r="B77" i="1"/>
  <c r="C77" i="1" s="1"/>
  <c r="G77" i="1" s="1"/>
  <c r="B78" i="1"/>
  <c r="C78" i="1" s="1"/>
  <c r="G78" i="1" s="1"/>
  <c r="B79" i="1"/>
  <c r="C79" i="1" s="1"/>
  <c r="G79" i="1" s="1"/>
  <c r="B80" i="1"/>
  <c r="C80" i="1" s="1"/>
  <c r="G80" i="1" s="1"/>
  <c r="B81" i="1"/>
  <c r="C81" i="1" s="1"/>
  <c r="G81" i="1" s="1"/>
  <c r="B82" i="1"/>
  <c r="C82" i="1" s="1"/>
  <c r="G82" i="1" s="1"/>
  <c r="B83" i="1"/>
  <c r="C83" i="1" s="1"/>
  <c r="G83" i="1" s="1"/>
  <c r="B84" i="1"/>
  <c r="C84" i="1" s="1"/>
  <c r="G84" i="1" s="1"/>
  <c r="B85" i="1"/>
  <c r="C85" i="1" s="1"/>
  <c r="G85" i="1" s="1"/>
  <c r="B86" i="1"/>
  <c r="C86" i="1" s="1"/>
  <c r="G86" i="1" s="1"/>
  <c r="B87" i="1"/>
  <c r="C87" i="1" s="1"/>
  <c r="G87" i="1" s="1"/>
  <c r="H67" i="1"/>
  <c r="E67" i="1" s="1"/>
  <c r="B67" i="1"/>
  <c r="C67" i="1" s="1"/>
  <c r="G67" i="1" s="1"/>
  <c r="X62" i="1"/>
  <c r="Z43" i="1"/>
  <c r="W43" i="1" s="1"/>
  <c r="Z44" i="1"/>
  <c r="W44" i="1" s="1"/>
  <c r="Z45" i="1"/>
  <c r="W45" i="1" s="1"/>
  <c r="Z46" i="1"/>
  <c r="W46" i="1" s="1"/>
  <c r="Z47" i="1"/>
  <c r="W47" i="1" s="1"/>
  <c r="Z48" i="1"/>
  <c r="W48" i="1" s="1"/>
  <c r="Z49" i="1"/>
  <c r="W49" i="1" s="1"/>
  <c r="Z50" i="1"/>
  <c r="W50" i="1" s="1"/>
  <c r="Z51" i="1"/>
  <c r="W51" i="1" s="1"/>
  <c r="Z52" i="1"/>
  <c r="W52" i="1" s="1"/>
  <c r="Z53" i="1"/>
  <c r="W53" i="1" s="1"/>
  <c r="Z54" i="1"/>
  <c r="W54" i="1" s="1"/>
  <c r="Z55" i="1"/>
  <c r="W55" i="1" s="1"/>
  <c r="Z56" i="1"/>
  <c r="W56" i="1" s="1"/>
  <c r="Z57" i="1"/>
  <c r="W57" i="1" s="1"/>
  <c r="Z58" i="1"/>
  <c r="W58" i="1" s="1"/>
  <c r="Z59" i="1"/>
  <c r="W59" i="1" s="1"/>
  <c r="Z60" i="1"/>
  <c r="W60" i="1" s="1"/>
  <c r="Z61" i="1"/>
  <c r="W61" i="1" s="1"/>
  <c r="Z62" i="1"/>
  <c r="W62" i="1" s="1"/>
  <c r="U61" i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T62" i="1"/>
  <c r="U62" i="1" s="1"/>
  <c r="Q43" i="1"/>
  <c r="N43" i="1" s="1"/>
  <c r="Q44" i="1"/>
  <c r="N44" i="1" s="1"/>
  <c r="Q45" i="1"/>
  <c r="N45" i="1" s="1"/>
  <c r="Q46" i="1"/>
  <c r="N46" i="1" s="1"/>
  <c r="Q47" i="1"/>
  <c r="N47" i="1" s="1"/>
  <c r="Q48" i="1"/>
  <c r="N48" i="1" s="1"/>
  <c r="Q49" i="1"/>
  <c r="N49" i="1" s="1"/>
  <c r="Q50" i="1"/>
  <c r="N50" i="1" s="1"/>
  <c r="Q51" i="1"/>
  <c r="N51" i="1" s="1"/>
  <c r="Q52" i="1"/>
  <c r="N52" i="1" s="1"/>
  <c r="Q53" i="1"/>
  <c r="N53" i="1" s="1"/>
  <c r="Q54" i="1"/>
  <c r="N54" i="1" s="1"/>
  <c r="Q55" i="1"/>
  <c r="N55" i="1" s="1"/>
  <c r="Q56" i="1"/>
  <c r="N56" i="1" s="1"/>
  <c r="Q57" i="1"/>
  <c r="N57" i="1" s="1"/>
  <c r="Q58" i="1"/>
  <c r="N58" i="1" s="1"/>
  <c r="Q59" i="1"/>
  <c r="N59" i="1" s="1"/>
  <c r="Q60" i="1"/>
  <c r="N60" i="1" s="1"/>
  <c r="Q61" i="1"/>
  <c r="N61" i="1" s="1"/>
  <c r="Q62" i="1"/>
  <c r="N6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H43" i="1"/>
  <c r="E43" i="1" s="1"/>
  <c r="H44" i="1"/>
  <c r="E44" i="1" s="1"/>
  <c r="H45" i="1"/>
  <c r="E45" i="1" s="1"/>
  <c r="H46" i="1"/>
  <c r="E46" i="1" s="1"/>
  <c r="H47" i="1"/>
  <c r="E47" i="1" s="1"/>
  <c r="H48" i="1"/>
  <c r="E48" i="1" s="1"/>
  <c r="H49" i="1"/>
  <c r="E49" i="1" s="1"/>
  <c r="H50" i="1"/>
  <c r="E50" i="1" s="1"/>
  <c r="H51" i="1"/>
  <c r="E51" i="1" s="1"/>
  <c r="H52" i="1"/>
  <c r="E52" i="1" s="1"/>
  <c r="H53" i="1"/>
  <c r="E53" i="1" s="1"/>
  <c r="H54" i="1"/>
  <c r="E54" i="1" s="1"/>
  <c r="H55" i="1"/>
  <c r="E55" i="1" s="1"/>
  <c r="H56" i="1"/>
  <c r="E56" i="1" s="1"/>
  <c r="H57" i="1"/>
  <c r="E57" i="1" s="1"/>
  <c r="H58" i="1"/>
  <c r="E58" i="1" s="1"/>
  <c r="H59" i="1"/>
  <c r="E59" i="1" s="1"/>
  <c r="H60" i="1"/>
  <c r="E60" i="1" s="1"/>
  <c r="H61" i="1"/>
  <c r="E61" i="1" s="1"/>
  <c r="H62" i="1"/>
  <c r="E6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Z42" i="1"/>
  <c r="W42" i="1" s="1"/>
  <c r="T42" i="1"/>
  <c r="U42" i="1" s="1"/>
  <c r="Q42" i="1"/>
  <c r="N42" i="1" s="1"/>
  <c r="K42" i="1"/>
  <c r="L42" i="1" s="1"/>
  <c r="H42" i="1"/>
  <c r="E42" i="1" s="1"/>
  <c r="B42" i="1"/>
  <c r="C42" i="1" s="1"/>
  <c r="Z18" i="1"/>
  <c r="W18" i="1" s="1"/>
  <c r="Z19" i="1"/>
  <c r="W19" i="1" s="1"/>
  <c r="Z20" i="1"/>
  <c r="W20" i="1" s="1"/>
  <c r="Z21" i="1"/>
  <c r="W21" i="1" s="1"/>
  <c r="Z22" i="1"/>
  <c r="W22" i="1" s="1"/>
  <c r="Z23" i="1"/>
  <c r="W23" i="1" s="1"/>
  <c r="Z24" i="1"/>
  <c r="W24" i="1" s="1"/>
  <c r="Z25" i="1"/>
  <c r="W25" i="1" s="1"/>
  <c r="Z26" i="1"/>
  <c r="W26" i="1" s="1"/>
  <c r="Z27" i="1"/>
  <c r="W27" i="1" s="1"/>
  <c r="Z28" i="1"/>
  <c r="W28" i="1" s="1"/>
  <c r="Z29" i="1"/>
  <c r="W29" i="1" s="1"/>
  <c r="Z30" i="1"/>
  <c r="W30" i="1" s="1"/>
  <c r="Z31" i="1"/>
  <c r="W31" i="1" s="1"/>
  <c r="Z32" i="1"/>
  <c r="W32" i="1" s="1"/>
  <c r="Z33" i="1"/>
  <c r="W33" i="1" s="1"/>
  <c r="Z34" i="1"/>
  <c r="W34" i="1" s="1"/>
  <c r="Z35" i="1"/>
  <c r="W35" i="1" s="1"/>
  <c r="Z36" i="1"/>
  <c r="W36" i="1" s="1"/>
  <c r="Z37" i="1"/>
  <c r="W3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Z17" i="1"/>
  <c r="W17" i="1" s="1"/>
  <c r="T17" i="1"/>
  <c r="U17" i="1" s="1"/>
  <c r="Q18" i="1"/>
  <c r="N18" i="1" s="1"/>
  <c r="Q19" i="1"/>
  <c r="N19" i="1" s="1"/>
  <c r="Q20" i="1"/>
  <c r="N20" i="1" s="1"/>
  <c r="Q21" i="1"/>
  <c r="N21" i="1" s="1"/>
  <c r="Q22" i="1"/>
  <c r="N22" i="1" s="1"/>
  <c r="Q23" i="1"/>
  <c r="N23" i="1" s="1"/>
  <c r="Q24" i="1"/>
  <c r="N24" i="1" s="1"/>
  <c r="Q25" i="1"/>
  <c r="N25" i="1" s="1"/>
  <c r="Q26" i="1"/>
  <c r="N26" i="1" s="1"/>
  <c r="Q27" i="1"/>
  <c r="N27" i="1" s="1"/>
  <c r="Q28" i="1"/>
  <c r="N28" i="1" s="1"/>
  <c r="Q29" i="1"/>
  <c r="N29" i="1" s="1"/>
  <c r="Q30" i="1"/>
  <c r="N30" i="1" s="1"/>
  <c r="Q31" i="1"/>
  <c r="N31" i="1" s="1"/>
  <c r="Q32" i="1"/>
  <c r="N32" i="1" s="1"/>
  <c r="Q33" i="1"/>
  <c r="N33" i="1" s="1"/>
  <c r="Q34" i="1"/>
  <c r="N34" i="1" s="1"/>
  <c r="Q35" i="1"/>
  <c r="N35" i="1" s="1"/>
  <c r="Q36" i="1"/>
  <c r="N36" i="1" s="1"/>
  <c r="Q37" i="1"/>
  <c r="N3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Q17" i="1"/>
  <c r="N17" i="1" s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17" i="1"/>
  <c r="E17" i="1" s="1"/>
  <c r="K17" i="1"/>
  <c r="L17" i="1" s="1"/>
  <c r="G9" i="1"/>
  <c r="D9" i="1" s="1"/>
  <c r="G8" i="1"/>
  <c r="D8" i="1" s="1"/>
  <c r="G7" i="1"/>
  <c r="D7" i="1" s="1"/>
  <c r="G6" i="1"/>
  <c r="D6" i="1" s="1"/>
  <c r="G5" i="1"/>
  <c r="D5" i="1" s="1"/>
  <c r="G4" i="1"/>
  <c r="D4" i="1" s="1"/>
  <c r="B37" i="1"/>
  <c r="C37" i="1" s="1"/>
  <c r="Y58" i="1" l="1"/>
  <c r="Y43" i="1"/>
  <c r="Y49" i="1"/>
  <c r="Y42" i="1"/>
  <c r="Y59" i="1"/>
  <c r="Y60" i="1"/>
  <c r="Y53" i="1"/>
  <c r="Y61" i="1"/>
  <c r="Y62" i="1"/>
  <c r="Y54" i="1"/>
  <c r="Y44" i="1"/>
  <c r="Y45" i="1"/>
  <c r="Y46" i="1"/>
  <c r="Y47" i="1"/>
  <c r="Y48" i="1"/>
  <c r="Y50" i="1"/>
  <c r="Y51" i="1"/>
  <c r="Y52" i="1"/>
  <c r="Y55" i="1"/>
  <c r="Y57" i="1"/>
  <c r="Y56" i="1"/>
  <c r="P36" i="1"/>
  <c r="P28" i="1"/>
  <c r="P29" i="1"/>
  <c r="P37" i="1"/>
  <c r="P19" i="1"/>
  <c r="P21" i="1"/>
  <c r="P30" i="1"/>
  <c r="P35" i="1"/>
  <c r="P18" i="1"/>
  <c r="P20" i="1"/>
  <c r="P27" i="1"/>
  <c r="P33" i="1"/>
  <c r="P31" i="1"/>
  <c r="P32" i="1"/>
  <c r="P22" i="1"/>
  <c r="P23" i="1"/>
  <c r="P24" i="1"/>
  <c r="P25" i="1"/>
  <c r="P26" i="1"/>
  <c r="P17" i="1"/>
  <c r="P34" i="1"/>
  <c r="Y22" i="1"/>
  <c r="Y30" i="1"/>
  <c r="Y31" i="1"/>
  <c r="Y18" i="1"/>
  <c r="Y21" i="1"/>
  <c r="Y23" i="1"/>
  <c r="Y33" i="1"/>
  <c r="Y24" i="1"/>
  <c r="Y27" i="1"/>
  <c r="Y28" i="1"/>
  <c r="Y29" i="1"/>
  <c r="Y32" i="1"/>
  <c r="Y34" i="1"/>
  <c r="Y19" i="1"/>
  <c r="Y25" i="1"/>
  <c r="Y26" i="1"/>
  <c r="Y17" i="1"/>
  <c r="Y35" i="1"/>
  <c r="Y36" i="1"/>
  <c r="Y37" i="1"/>
  <c r="Y20" i="1"/>
  <c r="G47" i="1"/>
  <c r="G55" i="1"/>
  <c r="G56" i="1"/>
  <c r="G61" i="1"/>
  <c r="G44" i="1"/>
  <c r="G57" i="1"/>
  <c r="G59" i="1"/>
  <c r="G48" i="1"/>
  <c r="G60" i="1"/>
  <c r="G43" i="1"/>
  <c r="G45" i="1"/>
  <c r="G46" i="1"/>
  <c r="G49" i="1"/>
  <c r="G58" i="1"/>
  <c r="G50" i="1"/>
  <c r="G51" i="1"/>
  <c r="G42" i="1"/>
  <c r="G52" i="1"/>
  <c r="G53" i="1"/>
  <c r="G54" i="1"/>
  <c r="G62" i="1"/>
  <c r="P47" i="1"/>
  <c r="P53" i="1"/>
  <c r="P58" i="1"/>
  <c r="P48" i="1"/>
  <c r="P52" i="1"/>
  <c r="P54" i="1"/>
  <c r="P56" i="1"/>
  <c r="P49" i="1"/>
  <c r="P55" i="1"/>
  <c r="P57" i="1"/>
  <c r="P60" i="1"/>
  <c r="P43" i="1"/>
  <c r="P50" i="1"/>
  <c r="P51" i="1"/>
  <c r="P42" i="1"/>
  <c r="P59" i="1"/>
  <c r="P44" i="1"/>
  <c r="P46" i="1"/>
  <c r="P61" i="1"/>
  <c r="P62" i="1"/>
  <c r="P45" i="1"/>
  <c r="B18" i="1"/>
  <c r="C18" i="1" s="1"/>
  <c r="G18" i="1" s="1"/>
  <c r="B19" i="1"/>
  <c r="C19" i="1" s="1"/>
  <c r="G19" i="1" s="1"/>
  <c r="B20" i="1"/>
  <c r="C20" i="1" s="1"/>
  <c r="G20" i="1" s="1"/>
  <c r="B21" i="1"/>
  <c r="C21" i="1" s="1"/>
  <c r="G21" i="1" s="1"/>
  <c r="B22" i="1"/>
  <c r="C22" i="1" s="1"/>
  <c r="G22" i="1" s="1"/>
  <c r="B23" i="1"/>
  <c r="C23" i="1" s="1"/>
  <c r="G23" i="1" s="1"/>
  <c r="B24" i="1"/>
  <c r="C24" i="1" s="1"/>
  <c r="G24" i="1" s="1"/>
  <c r="B25" i="1"/>
  <c r="C25" i="1" s="1"/>
  <c r="G25" i="1" s="1"/>
  <c r="B26" i="1"/>
  <c r="C26" i="1" s="1"/>
  <c r="G26" i="1" s="1"/>
  <c r="B27" i="1"/>
  <c r="C27" i="1" s="1"/>
  <c r="G27" i="1" s="1"/>
  <c r="B28" i="1"/>
  <c r="C28" i="1" s="1"/>
  <c r="G28" i="1" s="1"/>
  <c r="B29" i="1"/>
  <c r="C29" i="1" s="1"/>
  <c r="G29" i="1" s="1"/>
  <c r="B30" i="1"/>
  <c r="C30" i="1" s="1"/>
  <c r="G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17" i="1"/>
  <c r="G17" i="1" s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</calcChain>
</file>

<file path=xl/sharedStrings.xml><?xml version="1.0" encoding="utf-8"?>
<sst xmlns="http://schemas.openxmlformats.org/spreadsheetml/2006/main" count="58" uniqueCount="16">
  <si>
    <t>SGFWN</t>
  </si>
  <si>
    <t>Krg</t>
  </si>
  <si>
    <t>Sw</t>
  </si>
  <si>
    <t>Sg</t>
  </si>
  <si>
    <t>Krw</t>
  </si>
  <si>
    <t>Pcwg</t>
  </si>
  <si>
    <t>Satnum sw</t>
  </si>
  <si>
    <t>Satnum_Imm</t>
  </si>
  <si>
    <t>pEntry</t>
  </si>
  <si>
    <t>Porosity</t>
  </si>
  <si>
    <t>p_cap</t>
  </si>
  <si>
    <t>capillary pressure</t>
  </si>
  <si>
    <t>swn</t>
  </si>
  <si>
    <t>sgn</t>
  </si>
  <si>
    <t xml:space="preserve">horizontl int </t>
  </si>
  <si>
    <t>Satnum - satnum imm)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</si>
</sst>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8396-50A3-4BAE-92D0-ACFE183D3967}">
  <dimension ref="A2:Z87"/>
  <sheetViews>
    <sheetView tabSelected="1" topLeftCell="A52" workbookViewId="0">
      <selection activeCell="J81" sqref="J81"/>
    </sheetView>
  </sheetViews>
  <sheetFormatPr defaultRowHeight="15" x14ac:dyDescent="0.25"/>
  <cols>
    <col min="1" max="1" width="10.5703125" bestFit="1" customWidth="1"/>
    <col min="2" max="3" width="12.5703125" bestFit="1" customWidth="1"/>
    <col min="4" max="4" width="8.5703125" bestFit="1" customWidth="1"/>
    <col min="6" max="6" width="17" bestFit="1" customWidth="1"/>
    <col min="7" max="7" width="11.5703125" customWidth="1"/>
    <col min="15" max="15" width="10.5703125" bestFit="1" customWidth="1"/>
    <col min="16" max="16" width="11.5703125" bestFit="1" customWidth="1"/>
    <col min="24" max="24" width="10.5703125" bestFit="1" customWidth="1"/>
    <col min="25" max="25" width="9.5703125" bestFit="1" customWidth="1"/>
  </cols>
  <sheetData>
    <row r="2" spans="1:26" x14ac:dyDescent="0.25">
      <c r="D2" s="1">
        <v>6.1199999999999996E-3</v>
      </c>
    </row>
    <row r="3" spans="1:26" x14ac:dyDescent="0.25">
      <c r="A3" t="s">
        <v>6</v>
      </c>
      <c r="B3" t="s">
        <v>9</v>
      </c>
      <c r="C3" t="s">
        <v>7</v>
      </c>
      <c r="D3" t="s">
        <v>8</v>
      </c>
      <c r="E3" t="s">
        <v>10</v>
      </c>
      <c r="F3" t="s">
        <v>11</v>
      </c>
      <c r="G3" t="s">
        <v>14</v>
      </c>
    </row>
    <row r="4" spans="1:26" x14ac:dyDescent="0.25">
      <c r="A4">
        <v>0.32</v>
      </c>
      <c r="B4">
        <v>0.1</v>
      </c>
      <c r="C4">
        <v>0.1</v>
      </c>
      <c r="D4" s="1">
        <f>SQRT(B4/G4)*D$2</f>
        <v>193531.39280230482</v>
      </c>
      <c r="E4" s="1">
        <v>370000</v>
      </c>
      <c r="F4">
        <v>1.5</v>
      </c>
      <c r="G4">
        <f>1*10^-16</f>
        <v>9.9999999999999998E-17</v>
      </c>
    </row>
    <row r="5" spans="1:26" x14ac:dyDescent="0.25">
      <c r="A5">
        <v>0.14000000000000001</v>
      </c>
      <c r="B5">
        <v>0.2</v>
      </c>
      <c r="D5" s="1">
        <f t="shared" ref="D5:D9" si="0">SQRT(B5/G5)*D$2</f>
        <v>8654.9870017233407</v>
      </c>
      <c r="G5">
        <f>1*10^-13</f>
        <v>1E-13</v>
      </c>
    </row>
    <row r="6" spans="1:26" x14ac:dyDescent="0.25">
      <c r="A6">
        <v>0.12</v>
      </c>
      <c r="B6">
        <v>0.2</v>
      </c>
      <c r="D6" s="1">
        <f t="shared" si="0"/>
        <v>6120</v>
      </c>
      <c r="G6">
        <f>2*10^-13</f>
        <v>2.0000000000000001E-13</v>
      </c>
    </row>
    <row r="7" spans="1:26" x14ac:dyDescent="0.25">
      <c r="A7">
        <v>0.12</v>
      </c>
      <c r="B7">
        <v>0.2</v>
      </c>
      <c r="D7" s="1">
        <f t="shared" si="0"/>
        <v>3870.6278560460955</v>
      </c>
      <c r="G7">
        <f>5*10^-13</f>
        <v>4.9999999999999999E-13</v>
      </c>
    </row>
    <row r="8" spans="1:26" x14ac:dyDescent="0.25">
      <c r="A8">
        <v>0.12</v>
      </c>
      <c r="B8">
        <v>0.25</v>
      </c>
      <c r="D8" s="1">
        <f t="shared" si="0"/>
        <v>3060</v>
      </c>
      <c r="G8">
        <f>1*10^-12</f>
        <v>9.9999999999999998E-13</v>
      </c>
    </row>
    <row r="9" spans="1:26" x14ac:dyDescent="0.25">
      <c r="A9">
        <v>0.1</v>
      </c>
      <c r="B9">
        <v>0.35</v>
      </c>
      <c r="D9" s="1">
        <f t="shared" si="0"/>
        <v>2560.1796811942709</v>
      </c>
      <c r="G9">
        <f>2*10^-12</f>
        <v>2E-12</v>
      </c>
    </row>
    <row r="10" spans="1:26" x14ac:dyDescent="0.25">
      <c r="A10">
        <v>0</v>
      </c>
      <c r="B10">
        <v>0</v>
      </c>
      <c r="D10" s="1">
        <v>0</v>
      </c>
      <c r="G10">
        <v>0</v>
      </c>
    </row>
    <row r="14" spans="1:26" x14ac:dyDescent="0.25">
      <c r="B14" t="s">
        <v>0</v>
      </c>
      <c r="C14" t="s">
        <v>15</v>
      </c>
    </row>
    <row r="15" spans="1:26" x14ac:dyDescent="0.25">
      <c r="A15">
        <v>1</v>
      </c>
      <c r="J15">
        <v>2</v>
      </c>
      <c r="S15">
        <v>3</v>
      </c>
    </row>
    <row r="16" spans="1:26" x14ac:dyDescent="0.25">
      <c r="B16" t="s">
        <v>2</v>
      </c>
      <c r="C16" t="s">
        <v>12</v>
      </c>
      <c r="D16" t="s">
        <v>3</v>
      </c>
      <c r="E16" t="s">
        <v>1</v>
      </c>
      <c r="F16" t="s">
        <v>4</v>
      </c>
      <c r="G16" t="s">
        <v>5</v>
      </c>
      <c r="H16" t="s">
        <v>13</v>
      </c>
      <c r="K16" t="s">
        <v>2</v>
      </c>
      <c r="L16" t="s">
        <v>12</v>
      </c>
      <c r="M16" t="s">
        <v>3</v>
      </c>
      <c r="N16" t="s">
        <v>1</v>
      </c>
      <c r="O16" t="s">
        <v>4</v>
      </c>
      <c r="P16" t="s">
        <v>5</v>
      </c>
      <c r="Q16" t="s">
        <v>13</v>
      </c>
      <c r="T16" t="s">
        <v>2</v>
      </c>
      <c r="U16" t="s">
        <v>12</v>
      </c>
      <c r="V16" t="s">
        <v>3</v>
      </c>
      <c r="W16" t="s">
        <v>1</v>
      </c>
      <c r="X16" t="s">
        <v>4</v>
      </c>
      <c r="Y16" t="s">
        <v>5</v>
      </c>
      <c r="Z16" t="s">
        <v>13</v>
      </c>
    </row>
    <row r="17" spans="2:26" x14ac:dyDescent="0.25">
      <c r="B17">
        <f>1 - D17</f>
        <v>1</v>
      </c>
      <c r="C17">
        <f>MAX((B17-A$4)/(1 - A$4), 0)</f>
        <v>1</v>
      </c>
      <c r="D17">
        <v>0</v>
      </c>
      <c r="E17">
        <f>H17^F$4</f>
        <v>0</v>
      </c>
      <c r="F17" s="3">
        <f>C17^F$4</f>
        <v>1</v>
      </c>
      <c r="G17" s="2">
        <f>D$4*(C17^(-F$4))</f>
        <v>193531.39280230482</v>
      </c>
      <c r="H17">
        <f>MAX((D17-C$4)/(1-C$4), 0)</f>
        <v>0</v>
      </c>
      <c r="K17">
        <f>1 - M17</f>
        <v>1</v>
      </c>
      <c r="L17">
        <f>MAX((K17-A$5)/(1 - A$5), 0)</f>
        <v>1</v>
      </c>
      <c r="M17">
        <v>0</v>
      </c>
      <c r="N17">
        <f>Q17^F$4</f>
        <v>0</v>
      </c>
      <c r="O17" s="3">
        <f>L17^F$4</f>
        <v>1</v>
      </c>
      <c r="P17" s="2">
        <f>D$5*(L17^(-F$4))</f>
        <v>8654.9870017233407</v>
      </c>
      <c r="Q17">
        <f>MAX((M17-C$4)/(1-C$4), 0)</f>
        <v>0</v>
      </c>
      <c r="T17">
        <f>1 - V17</f>
        <v>1</v>
      </c>
      <c r="U17">
        <f>MAX((T17-A$6)/(1 - A$6), 0)</f>
        <v>1</v>
      </c>
      <c r="V17">
        <v>0</v>
      </c>
      <c r="W17">
        <f>Z17^F$4</f>
        <v>0</v>
      </c>
      <c r="X17">
        <f>U17^F$4</f>
        <v>1</v>
      </c>
      <c r="Y17" s="2">
        <f>D$6*(U17^(-F$4))</f>
        <v>6120</v>
      </c>
      <c r="Z17">
        <f>MAX((V17-C$4)/(1-C$4), 0)</f>
        <v>0</v>
      </c>
    </row>
    <row r="18" spans="2:26" x14ac:dyDescent="0.25">
      <c r="B18">
        <f>1 - D18</f>
        <v>0.95</v>
      </c>
      <c r="C18">
        <f t="shared" ref="C18:C37" si="1">MAX((B18-A$4)/(1 - A$4), 0)</f>
        <v>0.92647058823529405</v>
      </c>
      <c r="D18">
        <v>0.05</v>
      </c>
      <c r="E18">
        <f>POWER(MAX((D18 - $C$4)/(1 - $C$4), 0), $F$4)</f>
        <v>0</v>
      </c>
      <c r="F18" s="3">
        <f t="shared" ref="F18:F37" si="2">C18^F$4</f>
        <v>0.89175890556494364</v>
      </c>
      <c r="G18" s="2">
        <f t="shared" ref="G18:G30" si="3">D$4*(C18^(-F$4))</f>
        <v>217022.10271698891</v>
      </c>
      <c r="H18">
        <f>MAX((D18-C$4)/(1-C$4), 0)</f>
        <v>0</v>
      </c>
      <c r="K18">
        <f>1 - M18</f>
        <v>0.95</v>
      </c>
      <c r="L18">
        <f t="shared" ref="L18:L37" si="4">MAX((K18-A$5)/(1 - A$5), 0)</f>
        <v>0.94186046511627897</v>
      </c>
      <c r="M18">
        <v>0.05</v>
      </c>
      <c r="N18">
        <f>Q18^F$4</f>
        <v>0</v>
      </c>
      <c r="O18" s="3">
        <f t="shared" ref="O18:O37" si="5">L18^F$4</f>
        <v>0.91407083331751848</v>
      </c>
      <c r="P18" s="2">
        <f t="shared" ref="P18:P37" si="6">D$5*(L18^(-F$4))</f>
        <v>9468.6174049674319</v>
      </c>
      <c r="Q18">
        <f>MAX((M18-C$4)/(1-C$4), 0)</f>
        <v>0</v>
      </c>
      <c r="T18">
        <f>1 - V18</f>
        <v>0.95</v>
      </c>
      <c r="U18">
        <f t="shared" ref="U18:U37" si="7">MAX((T18-A$6)/(1 - A$6), 0)</f>
        <v>0.94318181818181812</v>
      </c>
      <c r="V18">
        <v>0.05</v>
      </c>
      <c r="W18">
        <f>Z18^F$4</f>
        <v>0</v>
      </c>
      <c r="X18">
        <f t="shared" ref="X18:X37" si="8">U18^F$4</f>
        <v>0.91599505753893806</v>
      </c>
      <c r="Y18" s="2">
        <f t="shared" ref="Y18:Y37" si="9">D$6*(U18^(-F$4))</f>
        <v>6681.258757490451</v>
      </c>
      <c r="Z18">
        <f>MAX((V18-C$4)/(1-C$4), 0)</f>
        <v>0</v>
      </c>
    </row>
    <row r="19" spans="2:26" x14ac:dyDescent="0.25">
      <c r="B19">
        <f>1 - D19</f>
        <v>0.9</v>
      </c>
      <c r="C19">
        <f t="shared" si="1"/>
        <v>0.85294117647058842</v>
      </c>
      <c r="D19">
        <v>0.1</v>
      </c>
      <c r="E19">
        <f>POWER(MAX((D19 - $C$4)/(1 - $C$4), 0), $F$4)</f>
        <v>0</v>
      </c>
      <c r="F19" s="3">
        <f t="shared" si="2"/>
        <v>0.78773224147944643</v>
      </c>
      <c r="G19" s="2">
        <f t="shared" si="3"/>
        <v>245681.69564677446</v>
      </c>
      <c r="H19">
        <f>MAX((D19-C$4)/(1-C$4), 0)</f>
        <v>0</v>
      </c>
      <c r="K19">
        <f>1 - M19</f>
        <v>0.9</v>
      </c>
      <c r="L19">
        <f t="shared" si="4"/>
        <v>0.88372093023255816</v>
      </c>
      <c r="M19">
        <v>0.1</v>
      </c>
      <c r="N19">
        <f>Q19^F$4</f>
        <v>0</v>
      </c>
      <c r="O19" s="3">
        <f t="shared" si="5"/>
        <v>0.83075451746186479</v>
      </c>
      <c r="P19" s="2">
        <f t="shared" si="6"/>
        <v>10418.224421055455</v>
      </c>
      <c r="Q19">
        <f>MAX((M19-C$4)/(1-C$4), 0)</f>
        <v>0</v>
      </c>
      <c r="T19">
        <f>1 - V19</f>
        <v>0.9</v>
      </c>
      <c r="U19">
        <f t="shared" si="7"/>
        <v>0.88636363636363635</v>
      </c>
      <c r="V19">
        <v>0.1</v>
      </c>
      <c r="W19">
        <f>Z19^F$4</f>
        <v>0</v>
      </c>
      <c r="X19">
        <f t="shared" si="8"/>
        <v>0.83448377263544538</v>
      </c>
      <c r="Y19" s="2">
        <f t="shared" si="9"/>
        <v>7333.8753858232285</v>
      </c>
      <c r="Z19">
        <f>MAX((V19-C$4)/(1-C$4), 0)</f>
        <v>0</v>
      </c>
    </row>
    <row r="20" spans="2:26" x14ac:dyDescent="0.25">
      <c r="B20">
        <f>1 - D20</f>
        <v>0.85</v>
      </c>
      <c r="C20">
        <f t="shared" si="1"/>
        <v>0.77941176470588247</v>
      </c>
      <c r="D20">
        <v>0.15</v>
      </c>
      <c r="E20">
        <f>POWER(MAX((D20 - $C$4)/(1 - $C$4), 0), $F$4)</f>
        <v>1.30945700219731E-2</v>
      </c>
      <c r="F20" s="3">
        <f t="shared" si="2"/>
        <v>0.6880982214961876</v>
      </c>
      <c r="G20" s="2">
        <f t="shared" si="3"/>
        <v>281255.47597186617</v>
      </c>
      <c r="H20">
        <f>MAX((D20-C$4)/(1-C$4), 0)</f>
        <v>5.5555555555555539E-2</v>
      </c>
      <c r="K20">
        <f>1 - M20</f>
        <v>0.85</v>
      </c>
      <c r="L20">
        <f t="shared" si="4"/>
        <v>0.82558139534883723</v>
      </c>
      <c r="M20">
        <v>0.15</v>
      </c>
      <c r="N20">
        <f>Q20^F$4</f>
        <v>1.30945700219731E-2</v>
      </c>
      <c r="O20" s="3">
        <f t="shared" si="5"/>
        <v>0.75013572000358442</v>
      </c>
      <c r="P20" s="2">
        <f t="shared" si="6"/>
        <v>11537.894771471467</v>
      </c>
      <c r="Q20">
        <f>MAX((M20-C$4)/(1-C$4), 0)</f>
        <v>5.5555555555555539E-2</v>
      </c>
      <c r="T20">
        <f>1 - V20</f>
        <v>0.85</v>
      </c>
      <c r="U20">
        <f t="shared" si="7"/>
        <v>0.82954545454545447</v>
      </c>
      <c r="V20">
        <v>0.15</v>
      </c>
      <c r="W20">
        <f>Z20^F$4</f>
        <v>1.30945700219731E-2</v>
      </c>
      <c r="X20">
        <f t="shared" si="8"/>
        <v>0.75554490619551284</v>
      </c>
      <c r="Y20" s="2">
        <f t="shared" si="9"/>
        <v>8100.1141690131699</v>
      </c>
      <c r="Z20">
        <f>MAX((V20-C$4)/(1-C$4), 0)</f>
        <v>5.5555555555555539E-2</v>
      </c>
    </row>
    <row r="21" spans="2:26" x14ac:dyDescent="0.25">
      <c r="B21">
        <f>1 - D21</f>
        <v>0.8</v>
      </c>
      <c r="C21">
        <f t="shared" si="1"/>
        <v>0.70588235294117663</v>
      </c>
      <c r="D21">
        <v>0.2</v>
      </c>
      <c r="E21">
        <f>POWER(MAX((D21 - $C$4)/(1 - $C$4), 0), $F$4)</f>
        <v>3.7037037037037049E-2</v>
      </c>
      <c r="F21" s="3">
        <f t="shared" si="2"/>
        <v>0.59305980029421612</v>
      </c>
      <c r="G21" s="2">
        <f t="shared" si="3"/>
        <v>326326.94494938652</v>
      </c>
      <c r="H21">
        <f>MAX((D21-C$4)/(1-C$4), 0)</f>
        <v>0.11111111111111112</v>
      </c>
      <c r="K21">
        <f>1 - M21</f>
        <v>0.8</v>
      </c>
      <c r="L21">
        <f t="shared" si="4"/>
        <v>0.76744186046511631</v>
      </c>
      <c r="M21">
        <v>0.2</v>
      </c>
      <c r="N21">
        <f>Q21^F$4</f>
        <v>3.7037037037037049E-2</v>
      </c>
      <c r="O21" s="3">
        <f t="shared" si="5"/>
        <v>0.67230791850798599</v>
      </c>
      <c r="P21" s="2">
        <f t="shared" si="6"/>
        <v>12873.546128879238</v>
      </c>
      <c r="Q21">
        <f>MAX((M21-C$4)/(1-C$4), 0)</f>
        <v>0.11111111111111112</v>
      </c>
      <c r="T21">
        <f>1 - V21</f>
        <v>0.8</v>
      </c>
      <c r="U21">
        <f t="shared" si="7"/>
        <v>0.77272727272727282</v>
      </c>
      <c r="V21">
        <v>0.2</v>
      </c>
      <c r="W21">
        <f>Z21^F$4</f>
        <v>3.7037037037037049E-2</v>
      </c>
      <c r="X21">
        <f t="shared" si="8"/>
        <v>0.67926519276618436</v>
      </c>
      <c r="Y21" s="2">
        <f t="shared" si="9"/>
        <v>9009.7359104732113</v>
      </c>
      <c r="Z21">
        <f>MAX((V21-C$4)/(1-C$4), 0)</f>
        <v>0.11111111111111112</v>
      </c>
    </row>
    <row r="22" spans="2:26" x14ac:dyDescent="0.25">
      <c r="B22">
        <f>1 - D22</f>
        <v>0.75</v>
      </c>
      <c r="C22">
        <f t="shared" si="1"/>
        <v>0.63235294117647067</v>
      </c>
      <c r="D22">
        <v>0.25</v>
      </c>
      <c r="E22">
        <f>POWER(MAX((D22 - $C$4)/(1 - $C$4), 0), $F$4)</f>
        <v>6.8041381743977156E-2</v>
      </c>
      <c r="F22" s="3">
        <f t="shared" si="2"/>
        <v>0.50285099557752455</v>
      </c>
      <c r="G22" s="2">
        <f t="shared" si="3"/>
        <v>384868.27013245533</v>
      </c>
      <c r="H22">
        <f>MAX((D22-C$4)/(1-C$4), 0)</f>
        <v>0.16666666666666666</v>
      </c>
      <c r="K22">
        <f>1 - M22</f>
        <v>0.75</v>
      </c>
      <c r="L22">
        <f t="shared" si="4"/>
        <v>0.70930232558139539</v>
      </c>
      <c r="M22">
        <v>0.25</v>
      </c>
      <c r="N22">
        <f>Q22^F$4</f>
        <v>6.8041381743977156E-2</v>
      </c>
      <c r="O22" s="3">
        <f t="shared" si="5"/>
        <v>0.59737504418395948</v>
      </c>
      <c r="P22" s="2">
        <f t="shared" si="6"/>
        <v>14488.363861176078</v>
      </c>
      <c r="Q22">
        <f>MAX((M22-C$4)/(1-C$4), 0)</f>
        <v>0.16666666666666666</v>
      </c>
      <c r="T22">
        <f>1 - V22</f>
        <v>0.75</v>
      </c>
      <c r="U22">
        <f t="shared" si="7"/>
        <v>0.71590909090909094</v>
      </c>
      <c r="V22">
        <v>0.25</v>
      </c>
      <c r="W22">
        <f>Z22^F$4</f>
        <v>6.8041381743977156E-2</v>
      </c>
      <c r="X22">
        <f t="shared" si="8"/>
        <v>0.60574078488953309</v>
      </c>
      <c r="Y22" s="2">
        <f t="shared" si="9"/>
        <v>10103.331577906025</v>
      </c>
      <c r="Z22">
        <f>MAX((V22-C$4)/(1-C$4), 0)</f>
        <v>0.16666666666666666</v>
      </c>
    </row>
    <row r="23" spans="2:26" x14ac:dyDescent="0.25">
      <c r="B23">
        <f>1 - D23</f>
        <v>0.7</v>
      </c>
      <c r="C23">
        <f t="shared" si="1"/>
        <v>0.55882352941176472</v>
      </c>
      <c r="D23">
        <v>0.3</v>
      </c>
      <c r="E23">
        <f>POWER(MAX((D23 - $C$4)/(1 - $C$4), 0), $F$4)</f>
        <v>0.10475656017578483</v>
      </c>
      <c r="F23" s="3">
        <f t="shared" si="2"/>
        <v>0.41774573618622468</v>
      </c>
      <c r="G23" s="2">
        <f t="shared" si="3"/>
        <v>463275.56702106347</v>
      </c>
      <c r="H23">
        <f>MAX((D23-C$4)/(1-C$4), 0)</f>
        <v>0.22222222222222221</v>
      </c>
      <c r="K23">
        <f>1 - M23</f>
        <v>0.7</v>
      </c>
      <c r="L23">
        <f t="shared" si="4"/>
        <v>0.65116279069767435</v>
      </c>
      <c r="M23">
        <v>0.3</v>
      </c>
      <c r="N23">
        <f>Q23^F$4</f>
        <v>0.10475656017578483</v>
      </c>
      <c r="O23" s="3">
        <f t="shared" si="5"/>
        <v>0.52545359009316295</v>
      </c>
      <c r="P23" s="2">
        <f t="shared" si="6"/>
        <v>16471.458497769159</v>
      </c>
      <c r="Q23">
        <f>MAX((M23-C$4)/(1-C$4), 0)</f>
        <v>0.22222222222222221</v>
      </c>
      <c r="T23">
        <f>1 - V23</f>
        <v>0.7</v>
      </c>
      <c r="U23">
        <f t="shared" si="7"/>
        <v>0.65909090909090906</v>
      </c>
      <c r="V23">
        <v>0.3</v>
      </c>
      <c r="W23">
        <f>Z23^F$4</f>
        <v>0.10475656017578483</v>
      </c>
      <c r="X23">
        <f t="shared" si="8"/>
        <v>0.53507909285667432</v>
      </c>
      <c r="Y23" s="2">
        <f t="shared" si="9"/>
        <v>11437.561440359428</v>
      </c>
      <c r="Z23">
        <f>MAX((V23-C$4)/(1-C$4), 0)</f>
        <v>0.22222222222222221</v>
      </c>
    </row>
    <row r="24" spans="2:26" x14ac:dyDescent="0.25">
      <c r="B24">
        <f>1 - D24</f>
        <v>0.65</v>
      </c>
      <c r="C24">
        <f t="shared" si="1"/>
        <v>0.48529411764705888</v>
      </c>
      <c r="D24">
        <v>0.35</v>
      </c>
      <c r="E24">
        <f>POWER(MAX((D24 - $C$4)/(1 - $C$4), 0), $F$4)</f>
        <v>0.14640174352631383</v>
      </c>
      <c r="F24" s="3">
        <f t="shared" si="2"/>
        <v>0.33807070615639395</v>
      </c>
      <c r="G24" s="2">
        <f t="shared" si="3"/>
        <v>572458.33276301611</v>
      </c>
      <c r="H24">
        <f>MAX((D24-C$4)/(1-C$4), 0)</f>
        <v>0.27777777777777773</v>
      </c>
      <c r="K24">
        <f>1 - M24</f>
        <v>0.65</v>
      </c>
      <c r="L24">
        <f t="shared" si="4"/>
        <v>0.59302325581395354</v>
      </c>
      <c r="M24">
        <v>0.35</v>
      </c>
      <c r="N24">
        <f>Q24^F$4</f>
        <v>0.14640174352631383</v>
      </c>
      <c r="O24" s="3">
        <f t="shared" si="5"/>
        <v>0.45667536786355922</v>
      </c>
      <c r="P24" s="2">
        <f t="shared" si="6"/>
        <v>18952.165171976583</v>
      </c>
      <c r="Q24">
        <f>MAX((M24-C$4)/(1-C$4), 0)</f>
        <v>0.27777777777777773</v>
      </c>
      <c r="T24">
        <f>1 - V24</f>
        <v>0.65</v>
      </c>
      <c r="U24">
        <f t="shared" si="7"/>
        <v>0.60227272727272729</v>
      </c>
      <c r="V24">
        <v>0.35</v>
      </c>
      <c r="W24">
        <f>Z24^F$4</f>
        <v>0.14640174352631383</v>
      </c>
      <c r="X24">
        <f t="shared" si="8"/>
        <v>0.46740117106667628</v>
      </c>
      <c r="Y24" s="2">
        <f t="shared" si="9"/>
        <v>13093.677078372066</v>
      </c>
      <c r="Z24">
        <f>MAX((V24-C$4)/(1-C$4), 0)</f>
        <v>0.27777777777777773</v>
      </c>
    </row>
    <row r="25" spans="2:26" x14ac:dyDescent="0.25">
      <c r="B25">
        <f>1 - D25</f>
        <v>0.6</v>
      </c>
      <c r="C25">
        <f t="shared" si="1"/>
        <v>0.41176470588235292</v>
      </c>
      <c r="D25">
        <v>0.4</v>
      </c>
      <c r="E25">
        <f>POWER(MAX((D25 - $C$4)/(1 - $C$4), 0), $F$4)</f>
        <v>0.19245008972987529</v>
      </c>
      <c r="F25" s="3">
        <f t="shared" si="2"/>
        <v>0.26422486090813146</v>
      </c>
      <c r="G25" s="2">
        <f t="shared" si="3"/>
        <v>732449.5966698376</v>
      </c>
      <c r="H25">
        <f>MAX((D25-C$4)/(1-C$4), 0)</f>
        <v>0.33333333333333337</v>
      </c>
      <c r="K25">
        <f>1 - M25</f>
        <v>0.6</v>
      </c>
      <c r="L25">
        <f t="shared" si="4"/>
        <v>0.53488372093023251</v>
      </c>
      <c r="M25">
        <v>0.4</v>
      </c>
      <c r="N25">
        <f>Q25^F$4</f>
        <v>0.19245008972987529</v>
      </c>
      <c r="O25" s="3">
        <f t="shared" si="5"/>
        <v>0.39119119464670293</v>
      </c>
      <c r="P25" s="2">
        <f t="shared" si="6"/>
        <v>22124.697897507463</v>
      </c>
      <c r="Q25">
        <f>MAX((M25-C$4)/(1-C$4), 0)</f>
        <v>0.33333333333333337</v>
      </c>
      <c r="T25">
        <f>1 - V25</f>
        <v>0.6</v>
      </c>
      <c r="U25">
        <f t="shared" si="7"/>
        <v>0.54545454545454541</v>
      </c>
      <c r="V25">
        <v>0.4</v>
      </c>
      <c r="W25">
        <f>Z25^F$4</f>
        <v>0.19245008972987529</v>
      </c>
      <c r="X25">
        <f t="shared" si="8"/>
        <v>0.40284487956872528</v>
      </c>
      <c r="Y25" s="2">
        <f t="shared" si="9"/>
        <v>15191.951816669247</v>
      </c>
      <c r="Z25">
        <f>MAX((V25-C$4)/(1-C$4), 0)</f>
        <v>0.33333333333333337</v>
      </c>
    </row>
    <row r="26" spans="2:26" x14ac:dyDescent="0.25">
      <c r="B26">
        <f>1 - D26</f>
        <v>0.55000000000000004</v>
      </c>
      <c r="C26">
        <f t="shared" si="1"/>
        <v>0.33823529411764713</v>
      </c>
      <c r="D26">
        <v>0.45</v>
      </c>
      <c r="E26">
        <f>POWER(MAX((D26 - $C$4)/(1 - $C$4), 0), $F$4)</f>
        <v>0.2425148306242369</v>
      </c>
      <c r="F26" s="3">
        <f t="shared" si="2"/>
        <v>0.19671088168925582</v>
      </c>
      <c r="G26" s="2">
        <f t="shared" si="3"/>
        <v>983836.74121305789</v>
      </c>
      <c r="H26">
        <f>MAX((D26-C$4)/(1-C$4), 0)</f>
        <v>0.38888888888888884</v>
      </c>
      <c r="K26">
        <f>1 - M26</f>
        <v>0.55000000000000004</v>
      </c>
      <c r="L26">
        <f t="shared" si="4"/>
        <v>0.4767441860465117</v>
      </c>
      <c r="M26">
        <v>0.45</v>
      </c>
      <c r="N26">
        <f>Q26^F$4</f>
        <v>0.2425148306242369</v>
      </c>
      <c r="O26" s="3">
        <f t="shared" si="5"/>
        <v>0.32917595803755789</v>
      </c>
      <c r="P26" s="2">
        <f t="shared" si="6"/>
        <v>26292.889229582906</v>
      </c>
      <c r="Q26">
        <f>MAX((M26-C$4)/(1-C$4), 0)</f>
        <v>0.38888888888888884</v>
      </c>
      <c r="T26">
        <f>1 - V26</f>
        <v>0.55000000000000004</v>
      </c>
      <c r="U26">
        <f t="shared" si="7"/>
        <v>0.4886363636363637</v>
      </c>
      <c r="V26">
        <v>0.45</v>
      </c>
      <c r="W26">
        <f>Z26^F$4</f>
        <v>0.2425148306242369</v>
      </c>
      <c r="X26">
        <f t="shared" si="8"/>
        <v>0.34156917844363494</v>
      </c>
      <c r="Y26" s="2">
        <f t="shared" si="9"/>
        <v>17917.307492104152</v>
      </c>
      <c r="Z26">
        <f>MAX((V26-C$4)/(1-C$4), 0)</f>
        <v>0.38888888888888884</v>
      </c>
    </row>
    <row r="27" spans="2:26" x14ac:dyDescent="0.25">
      <c r="B27">
        <f>1 - D27</f>
        <v>0.5</v>
      </c>
      <c r="C27">
        <f t="shared" si="1"/>
        <v>0.26470588235294118</v>
      </c>
      <c r="D27">
        <v>0.5</v>
      </c>
      <c r="E27">
        <f>POWER(MAX((D27 - $C$4)/(1 - $C$4), 0), $F$4)</f>
        <v>0.29629629629629634</v>
      </c>
      <c r="F27" s="3">
        <f t="shared" si="2"/>
        <v>0.13619005290728642</v>
      </c>
      <c r="G27" s="2">
        <f t="shared" si="3"/>
        <v>1421039.1190174106</v>
      </c>
      <c r="H27">
        <f>MAX((D27-C$4)/(1-C$4), 0)</f>
        <v>0.44444444444444448</v>
      </c>
      <c r="K27">
        <f>1 - M27</f>
        <v>0.5</v>
      </c>
      <c r="L27">
        <f t="shared" si="4"/>
        <v>0.41860465116279066</v>
      </c>
      <c r="M27">
        <v>0.5</v>
      </c>
      <c r="N27">
        <f>Q27^F$4</f>
        <v>0.29629629629629634</v>
      </c>
      <c r="O27" s="3">
        <f t="shared" si="5"/>
        <v>0.27083580246444999</v>
      </c>
      <c r="P27" s="2">
        <f t="shared" si="6"/>
        <v>31956.583741765076</v>
      </c>
      <c r="Q27">
        <f>MAX((M27-C$4)/(1-C$4), 0)</f>
        <v>0.44444444444444448</v>
      </c>
      <c r="T27">
        <f>1 - V27</f>
        <v>0.5</v>
      </c>
      <c r="U27">
        <f t="shared" si="7"/>
        <v>0.43181818181818182</v>
      </c>
      <c r="V27">
        <v>0.5</v>
      </c>
      <c r="W27">
        <f>Z27^F$4</f>
        <v>0.29629629629629634</v>
      </c>
      <c r="X27">
        <f t="shared" si="8"/>
        <v>0.28376013801778749</v>
      </c>
      <c r="Y27" s="2">
        <f t="shared" si="9"/>
        <v>21567.51135924655</v>
      </c>
      <c r="Z27">
        <f>MAX((V27-C$4)/(1-C$4), 0)</f>
        <v>0.44444444444444448</v>
      </c>
    </row>
    <row r="28" spans="2:26" x14ac:dyDescent="0.25">
      <c r="B28">
        <f>1 - D28</f>
        <v>0.44999999999999996</v>
      </c>
      <c r="C28">
        <f t="shared" si="1"/>
        <v>0.19117647058823523</v>
      </c>
      <c r="D28">
        <v>0.55000000000000004</v>
      </c>
      <c r="E28">
        <f>POWER(MAX((D28 - $C$4)/(1 - $C$4), 0), $F$4)</f>
        <v>0.3535533905932739</v>
      </c>
      <c r="F28" s="3">
        <f t="shared" si="2"/>
        <v>8.3589486901012311E-2</v>
      </c>
      <c r="G28" s="2">
        <f t="shared" si="3"/>
        <v>2315259.9684154908</v>
      </c>
      <c r="H28">
        <f>MAX((D28-C$4)/(1-C$4), 0)</f>
        <v>0.50000000000000011</v>
      </c>
      <c r="K28">
        <f>1 - M28</f>
        <v>0.44999999999999996</v>
      </c>
      <c r="L28">
        <f t="shared" si="4"/>
        <v>0.36046511627906969</v>
      </c>
      <c r="M28">
        <v>0.55000000000000004</v>
      </c>
      <c r="N28">
        <f>Q28^F$4</f>
        <v>0.3535533905932739</v>
      </c>
      <c r="O28" s="3">
        <f t="shared" si="5"/>
        <v>0.2164187398302829</v>
      </c>
      <c r="P28" s="2">
        <f t="shared" si="6"/>
        <v>39991.855642956994</v>
      </c>
      <c r="Q28">
        <f>MAX((M28-C$4)/(1-C$4), 0)</f>
        <v>0.50000000000000011</v>
      </c>
      <c r="T28">
        <f>1 - V28</f>
        <v>0.44999999999999996</v>
      </c>
      <c r="U28">
        <f t="shared" si="7"/>
        <v>0.37499999999999994</v>
      </c>
      <c r="V28">
        <v>0.55000000000000004</v>
      </c>
      <c r="W28">
        <f>Z28^F$4</f>
        <v>0.3535533905932739</v>
      </c>
      <c r="X28">
        <f t="shared" si="8"/>
        <v>0.22963966338592287</v>
      </c>
      <c r="Y28" s="2">
        <f t="shared" si="9"/>
        <v>26650.44840148099</v>
      </c>
      <c r="Z28">
        <f>MAX((V28-C$4)/(1-C$4), 0)</f>
        <v>0.50000000000000011</v>
      </c>
    </row>
    <row r="29" spans="2:26" x14ac:dyDescent="0.25">
      <c r="B29">
        <f>1 - D29</f>
        <v>0.4</v>
      </c>
      <c r="C29">
        <f t="shared" si="1"/>
        <v>0.11764705882352945</v>
      </c>
      <c r="D29">
        <v>0.6</v>
      </c>
      <c r="E29">
        <f>POWER(MAX((D29 - $C$4)/(1 - $C$4), 0), $F$4)</f>
        <v>0.41408666249996112</v>
      </c>
      <c r="F29" s="3">
        <f t="shared" si="2"/>
        <v>4.0352608268825627E-2</v>
      </c>
      <c r="G29" s="2">
        <f t="shared" si="3"/>
        <v>4796007.026683758</v>
      </c>
      <c r="H29">
        <f>MAX((D29-C$4)/(1-C$4), 0)</f>
        <v>0.55555555555555558</v>
      </c>
      <c r="K29">
        <f>1 - M29</f>
        <v>0.4</v>
      </c>
      <c r="L29">
        <f t="shared" si="4"/>
        <v>0.30232558139534887</v>
      </c>
      <c r="M29">
        <v>0.6</v>
      </c>
      <c r="N29">
        <f>Q29^F$4</f>
        <v>0.41408666249996112</v>
      </c>
      <c r="O29" s="3">
        <f t="shared" si="5"/>
        <v>0.16623112539532672</v>
      </c>
      <c r="P29" s="2">
        <f t="shared" si="6"/>
        <v>52065.983317746694</v>
      </c>
      <c r="Q29">
        <f>MAX((M29-C$4)/(1-C$4), 0)</f>
        <v>0.55555555555555558</v>
      </c>
      <c r="T29">
        <f>1 - V29</f>
        <v>0.4</v>
      </c>
      <c r="U29">
        <f t="shared" si="7"/>
        <v>0.31818181818181823</v>
      </c>
      <c r="V29">
        <v>0.6</v>
      </c>
      <c r="W29">
        <f>Z29^F$4</f>
        <v>0.41408666249996112</v>
      </c>
      <c r="X29">
        <f t="shared" si="8"/>
        <v>0.17947875107838021</v>
      </c>
      <c r="Y29" s="2">
        <f t="shared" si="9"/>
        <v>34098.74407543282</v>
      </c>
      <c r="Z29">
        <f>MAX((V29-C$4)/(1-C$4), 0)</f>
        <v>0.55555555555555558</v>
      </c>
    </row>
    <row r="30" spans="2:26" x14ac:dyDescent="0.25">
      <c r="B30">
        <f>1 - D30</f>
        <v>0.35</v>
      </c>
      <c r="C30">
        <f t="shared" si="1"/>
        <v>4.4117647058823491E-2</v>
      </c>
      <c r="D30">
        <v>0.65</v>
      </c>
      <c r="E30">
        <f>POWER(MAX((D30 - $C$4)/(1 - $C$4), 0), $F$4)</f>
        <v>0.47772753109312716</v>
      </c>
      <c r="F30" s="3">
        <f t="shared" si="2"/>
        <v>9.2665593795971165E-3</v>
      </c>
      <c r="G30" s="2">
        <f t="shared" si="3"/>
        <v>20884924.47676076</v>
      </c>
      <c r="H30">
        <f>MAX((D30-C$4)/(1-C$4), 0)</f>
        <v>0.61111111111111116</v>
      </c>
      <c r="K30">
        <f>1 - M30</f>
        <v>0.35</v>
      </c>
      <c r="L30">
        <f t="shared" si="4"/>
        <v>0.24418604651162787</v>
      </c>
      <c r="M30">
        <v>0.65</v>
      </c>
      <c r="N30">
        <f>Q30^F$4</f>
        <v>0.47772753109312716</v>
      </c>
      <c r="O30" s="3">
        <f t="shared" si="5"/>
        <v>0.12066498555391864</v>
      </c>
      <c r="P30" s="2">
        <f t="shared" si="6"/>
        <v>71727.410913714455</v>
      </c>
      <c r="Q30">
        <f>MAX((M30-C$4)/(1-C$4), 0)</f>
        <v>0.61111111111111116</v>
      </c>
      <c r="T30">
        <f>1 - V30</f>
        <v>0.35</v>
      </c>
      <c r="U30">
        <f t="shared" si="7"/>
        <v>0.26136363636363635</v>
      </c>
      <c r="V30">
        <v>0.65</v>
      </c>
      <c r="W30">
        <f>Z30^F$4</f>
        <v>0.47772753109312716</v>
      </c>
      <c r="X30">
        <f t="shared" si="8"/>
        <v>0.13361885496985842</v>
      </c>
      <c r="Y30" s="2">
        <f t="shared" si="9"/>
        <v>45801.919208037987</v>
      </c>
      <c r="Z30">
        <f>MAX((V30-C$4)/(1-C$4), 0)</f>
        <v>0.61111111111111116</v>
      </c>
    </row>
    <row r="31" spans="2:26" x14ac:dyDescent="0.25">
      <c r="B31">
        <f>1 - D31</f>
        <v>0.30000000000000004</v>
      </c>
      <c r="C31">
        <f t="shared" si="1"/>
        <v>0</v>
      </c>
      <c r="D31">
        <v>0.7</v>
      </c>
      <c r="E31">
        <f>POWER(MAX((D31 - $C$4)/(1 - $C$4), 0), $F$4)</f>
        <v>0.54433105395181725</v>
      </c>
      <c r="F31" s="3">
        <f t="shared" si="2"/>
        <v>0</v>
      </c>
      <c r="G31" s="2">
        <v>20883924.48</v>
      </c>
      <c r="H31">
        <f>MAX((D31-C$4)/(1-C$4), 0)</f>
        <v>0.66666666666666663</v>
      </c>
      <c r="K31">
        <f>1 - M31</f>
        <v>0.30000000000000004</v>
      </c>
      <c r="L31">
        <f t="shared" si="4"/>
        <v>0.186046511627907</v>
      </c>
      <c r="M31">
        <v>0.7</v>
      </c>
      <c r="N31">
        <f>Q31^F$4</f>
        <v>0.54433105395181725</v>
      </c>
      <c r="O31" s="3">
        <f t="shared" si="5"/>
        <v>8.0247645174651869E-2</v>
      </c>
      <c r="P31" s="2">
        <f t="shared" si="6"/>
        <v>107853.47012845712</v>
      </c>
      <c r="Q31">
        <f>MAX((M31-C$4)/(1-C$4), 0)</f>
        <v>0.66666666666666663</v>
      </c>
      <c r="T31">
        <f>1 - V31</f>
        <v>0.30000000000000004</v>
      </c>
      <c r="U31">
        <f t="shared" si="7"/>
        <v>0.20454545454545461</v>
      </c>
      <c r="V31">
        <v>0.7</v>
      </c>
      <c r="W31">
        <f>Z31^F$4</f>
        <v>0.54433105395181725</v>
      </c>
      <c r="X31">
        <f t="shared" si="8"/>
        <v>9.2509162540904799E-2</v>
      </c>
      <c r="Y31" s="2">
        <f t="shared" si="9"/>
        <v>66155.609151622339</v>
      </c>
      <c r="Z31">
        <f>MAX((V31-C$4)/(1-C$4), 0)</f>
        <v>0.66666666666666663</v>
      </c>
    </row>
    <row r="32" spans="2:26" x14ac:dyDescent="0.25">
      <c r="B32">
        <f>1 - D32</f>
        <v>0.25</v>
      </c>
      <c r="C32">
        <f t="shared" si="1"/>
        <v>0</v>
      </c>
      <c r="D32">
        <v>0.75</v>
      </c>
      <c r="E32">
        <f>POWER(MAX((D32 - $C$4)/(1 - $C$4), 0), $F$4)</f>
        <v>0.61377086737690922</v>
      </c>
      <c r="F32" s="3">
        <f t="shared" si="2"/>
        <v>0</v>
      </c>
      <c r="G32" s="2">
        <v>20883924.48</v>
      </c>
      <c r="H32">
        <f>MAX((D32-C$4)/(1-C$4), 0)</f>
        <v>0.72222222222222221</v>
      </c>
      <c r="K32">
        <f>1 - M32</f>
        <v>0.25</v>
      </c>
      <c r="L32">
        <f t="shared" si="4"/>
        <v>0.12790697674418602</v>
      </c>
      <c r="M32">
        <v>0.75</v>
      </c>
      <c r="N32">
        <f>Q32^F$4</f>
        <v>0.61377086737690922</v>
      </c>
      <c r="O32" s="3">
        <f t="shared" si="5"/>
        <v>4.5744759732700535E-2</v>
      </c>
      <c r="P32" s="2">
        <f t="shared" si="6"/>
        <v>189201.71517561481</v>
      </c>
      <c r="Q32">
        <f>MAX((M32-C$4)/(1-C$4), 0)</f>
        <v>0.72222222222222221</v>
      </c>
      <c r="T32">
        <f>1 - V32</f>
        <v>0.25</v>
      </c>
      <c r="U32">
        <f t="shared" si="7"/>
        <v>0.14772727272727273</v>
      </c>
      <c r="V32">
        <v>0.75</v>
      </c>
      <c r="W32">
        <f>Z32^F$4</f>
        <v>0.61377086737690922</v>
      </c>
      <c r="X32">
        <f t="shared" si="8"/>
        <v>5.6779428933042594E-2</v>
      </c>
      <c r="Y32" s="2">
        <f t="shared" si="9"/>
        <v>107785.5151945441</v>
      </c>
      <c r="Z32">
        <f>MAX((V32-C$4)/(1-C$4), 0)</f>
        <v>0.72222222222222221</v>
      </c>
    </row>
    <row r="33" spans="1:26" x14ac:dyDescent="0.25">
      <c r="B33">
        <f>1 - D33</f>
        <v>0.19999999999999996</v>
      </c>
      <c r="C33">
        <f t="shared" si="1"/>
        <v>0</v>
      </c>
      <c r="D33">
        <v>0.8</v>
      </c>
      <c r="E33">
        <f>POWER(MAX((D33 - $C$4)/(1 - $C$4), 0), $F$4)</f>
        <v>0.68593552509081979</v>
      </c>
      <c r="F33" s="3">
        <f t="shared" si="2"/>
        <v>0</v>
      </c>
      <c r="G33" s="2">
        <v>20883924.48</v>
      </c>
      <c r="H33">
        <f>MAX((D33-C$4)/(1-C$4), 0)</f>
        <v>0.77777777777777779</v>
      </c>
      <c r="K33">
        <f>1 - M33</f>
        <v>0.19999999999999996</v>
      </c>
      <c r="L33">
        <f t="shared" si="4"/>
        <v>6.9767441860465046E-2</v>
      </c>
      <c r="M33">
        <v>0.8</v>
      </c>
      <c r="N33">
        <f>Q33^F$4</f>
        <v>0.68593552509081979</v>
      </c>
      <c r="O33" s="3">
        <f t="shared" si="5"/>
        <v>1.8428042225420008E-2</v>
      </c>
      <c r="P33" s="2">
        <f t="shared" si="6"/>
        <v>469663.94453907205</v>
      </c>
      <c r="Q33">
        <f>MAX((M33-C$4)/(1-C$4), 0)</f>
        <v>0.77777777777777779</v>
      </c>
      <c r="T33">
        <f>1 - V33</f>
        <v>0.19999999999999996</v>
      </c>
      <c r="U33">
        <f t="shared" si="7"/>
        <v>9.090909090909087E-2</v>
      </c>
      <c r="V33">
        <v>0.8</v>
      </c>
      <c r="W33">
        <f>Z33^F$4</f>
        <v>0.68593552509081979</v>
      </c>
      <c r="X33">
        <f t="shared" si="8"/>
        <v>2.7410122234342117E-2</v>
      </c>
      <c r="Y33" s="2">
        <f t="shared" si="9"/>
        <v>223275.18088672575</v>
      </c>
      <c r="Z33">
        <f>MAX((V33-C$4)/(1-C$4), 0)</f>
        <v>0.77777777777777779</v>
      </c>
    </row>
    <row r="34" spans="1:26" x14ac:dyDescent="0.25">
      <c r="B34">
        <f>1 - D34</f>
        <v>0.15000000000000002</v>
      </c>
      <c r="C34">
        <f t="shared" si="1"/>
        <v>0</v>
      </c>
      <c r="D34">
        <v>0.85</v>
      </c>
      <c r="E34">
        <f>POWER(MAX((D34 - $C$4)/(1 - $C$4), 0), $F$4)</f>
        <v>0.76072577431273058</v>
      </c>
      <c r="F34" s="3">
        <f t="shared" si="2"/>
        <v>0</v>
      </c>
      <c r="G34" s="2">
        <v>20883924.48</v>
      </c>
      <c r="H34">
        <f>MAX((D34-C$4)/(1-C$4), 0)</f>
        <v>0.83333333333333326</v>
      </c>
      <c r="K34">
        <f>1 - M34</f>
        <v>0.15000000000000002</v>
      </c>
      <c r="L34">
        <f t="shared" si="4"/>
        <v>1.1627906976744196E-2</v>
      </c>
      <c r="M34">
        <v>0.85</v>
      </c>
      <c r="N34">
        <f>Q34^F$4</f>
        <v>0.76072577431273058</v>
      </c>
      <c r="O34" s="3">
        <f t="shared" si="5"/>
        <v>1.253869455853937E-3</v>
      </c>
      <c r="P34" s="2">
        <f t="shared" si="6"/>
        <v>6902622.0882212464</v>
      </c>
      <c r="Q34">
        <f>MAX((M34-C$4)/(1-C$4), 0)</f>
        <v>0.83333333333333326</v>
      </c>
      <c r="T34">
        <f>1 - V34</f>
        <v>0.15000000000000002</v>
      </c>
      <c r="U34">
        <f t="shared" si="7"/>
        <v>3.4090909090909123E-2</v>
      </c>
      <c r="V34">
        <v>0.85</v>
      </c>
      <c r="W34">
        <f>Z34^F$4</f>
        <v>0.76072577431273058</v>
      </c>
      <c r="X34">
        <f t="shared" si="8"/>
        <v>6.2944512432613403E-3</v>
      </c>
      <c r="Y34" s="2">
        <f t="shared" si="9"/>
        <v>972284.91626683052</v>
      </c>
      <c r="Z34">
        <f>MAX((V34-C$4)/(1-C$4), 0)</f>
        <v>0.83333333333333326</v>
      </c>
    </row>
    <row r="35" spans="1:26" x14ac:dyDescent="0.25">
      <c r="B35">
        <f>1 - D35</f>
        <v>9.9999999999999978E-2</v>
      </c>
      <c r="C35">
        <f t="shared" si="1"/>
        <v>0</v>
      </c>
      <c r="D35">
        <v>0.9</v>
      </c>
      <c r="E35">
        <f>POWER(MAX((D35 - $C$4)/(1 - $C$4), 0), $F$4)</f>
        <v>0.83805248140627864</v>
      </c>
      <c r="F35" s="3">
        <f t="shared" si="2"/>
        <v>0</v>
      </c>
      <c r="G35" s="2">
        <v>20883924.48</v>
      </c>
      <c r="H35">
        <f>MAX((D35-C$4)/(1-C$4), 0)</f>
        <v>0.88888888888888895</v>
      </c>
      <c r="K35">
        <f>1 - M35</f>
        <v>9.9999999999999978E-2</v>
      </c>
      <c r="L35">
        <f t="shared" si="4"/>
        <v>0</v>
      </c>
      <c r="M35">
        <v>0.9</v>
      </c>
      <c r="N35">
        <f>Q35^F$4</f>
        <v>0.83805248140627864</v>
      </c>
      <c r="O35" s="3">
        <f t="shared" si="5"/>
        <v>0</v>
      </c>
      <c r="P35" s="2" t="e">
        <f t="shared" si="6"/>
        <v>#DIV/0!</v>
      </c>
      <c r="Q35">
        <f>MAX((M35-C$4)/(1-C$4), 0)</f>
        <v>0.88888888888888895</v>
      </c>
      <c r="T35">
        <f>1 - V35</f>
        <v>9.9999999999999978E-2</v>
      </c>
      <c r="U35">
        <f t="shared" si="7"/>
        <v>0</v>
      </c>
      <c r="V35">
        <v>0.9</v>
      </c>
      <c r="W35">
        <f>Z35^F$4</f>
        <v>0.83805248140627864</v>
      </c>
      <c r="X35">
        <f t="shared" si="8"/>
        <v>0</v>
      </c>
      <c r="Y35" s="2" t="e">
        <f t="shared" si="9"/>
        <v>#DIV/0!</v>
      </c>
      <c r="Z35">
        <f>MAX((V35-C$4)/(1-C$4), 0)</f>
        <v>0.88888888888888895</v>
      </c>
    </row>
    <row r="36" spans="1:26" x14ac:dyDescent="0.25">
      <c r="B36">
        <f>1 - D36</f>
        <v>5.0000000000000044E-2</v>
      </c>
      <c r="C36">
        <f t="shared" si="1"/>
        <v>0</v>
      </c>
      <c r="D36">
        <v>0.95</v>
      </c>
      <c r="E36">
        <f>POWER(MAX((D36 - $C$4)/(1 - $C$4), 0), $F$4)</f>
        <v>0.91783502048490839</v>
      </c>
      <c r="F36" s="3">
        <f t="shared" si="2"/>
        <v>0</v>
      </c>
      <c r="G36" s="2">
        <v>20883924.48</v>
      </c>
      <c r="H36">
        <f>MAX((D36-C$4)/(1-C$4), 0)</f>
        <v>0.94444444444444442</v>
      </c>
      <c r="K36">
        <f>1 - M36</f>
        <v>5.0000000000000044E-2</v>
      </c>
      <c r="L36">
        <f t="shared" si="4"/>
        <v>0</v>
      </c>
      <c r="M36">
        <v>0.95</v>
      </c>
      <c r="N36">
        <f>Q36^F$4</f>
        <v>0.91783502048490839</v>
      </c>
      <c r="O36" s="3">
        <f t="shared" si="5"/>
        <v>0</v>
      </c>
      <c r="P36" s="2" t="e">
        <f t="shared" si="6"/>
        <v>#DIV/0!</v>
      </c>
      <c r="Q36">
        <f>MAX((M36-C$4)/(1-C$4), 0)</f>
        <v>0.94444444444444442</v>
      </c>
      <c r="T36">
        <f>1 - V36</f>
        <v>5.0000000000000044E-2</v>
      </c>
      <c r="U36">
        <f t="shared" si="7"/>
        <v>0</v>
      </c>
      <c r="V36">
        <v>0.95</v>
      </c>
      <c r="W36">
        <f>Z36^F$4</f>
        <v>0.91783502048490839</v>
      </c>
      <c r="X36">
        <f t="shared" si="8"/>
        <v>0</v>
      </c>
      <c r="Y36" s="2" t="e">
        <f t="shared" si="9"/>
        <v>#DIV/0!</v>
      </c>
      <c r="Z36">
        <f>MAX((V36-C$4)/(1-C$4), 0)</f>
        <v>0.94444444444444442</v>
      </c>
    </row>
    <row r="37" spans="1:26" x14ac:dyDescent="0.25">
      <c r="B37">
        <f>1 - D37</f>
        <v>0</v>
      </c>
      <c r="C37">
        <f t="shared" si="1"/>
        <v>0</v>
      </c>
      <c r="D37">
        <v>1</v>
      </c>
      <c r="E37">
        <f>POWER(MAX((D37 - $C$4)/(1 - $C$4), 0), $F$4)</f>
        <v>1</v>
      </c>
      <c r="F37" s="3">
        <f t="shared" si="2"/>
        <v>0</v>
      </c>
      <c r="G37" s="2">
        <v>20883924.48</v>
      </c>
      <c r="H37">
        <f>MAX((D37-C$4)/(1-C$4), 0)</f>
        <v>1</v>
      </c>
      <c r="K37">
        <f>1 - M37</f>
        <v>0</v>
      </c>
      <c r="L37">
        <f t="shared" si="4"/>
        <v>0</v>
      </c>
      <c r="M37">
        <v>1</v>
      </c>
      <c r="N37">
        <f>Q37^F$4</f>
        <v>1</v>
      </c>
      <c r="O37" s="3">
        <f t="shared" si="5"/>
        <v>0</v>
      </c>
      <c r="P37" s="2" t="e">
        <f t="shared" si="6"/>
        <v>#DIV/0!</v>
      </c>
      <c r="Q37">
        <f>MAX((M37-C$4)/(1-C$4), 0)</f>
        <v>1</v>
      </c>
      <c r="T37">
        <f>1 - V37</f>
        <v>0</v>
      </c>
      <c r="U37">
        <f t="shared" si="7"/>
        <v>0</v>
      </c>
      <c r="V37">
        <v>1</v>
      </c>
      <c r="W37">
        <f>Z37^F$4</f>
        <v>1</v>
      </c>
      <c r="X37">
        <f t="shared" si="8"/>
        <v>0</v>
      </c>
      <c r="Y37" s="2" t="e">
        <f t="shared" si="9"/>
        <v>#DIV/0!</v>
      </c>
      <c r="Z37">
        <f>MAX((V37-C$4)/(1-C$4), 0)</f>
        <v>1</v>
      </c>
    </row>
    <row r="40" spans="1:26" x14ac:dyDescent="0.25">
      <c r="A40">
        <v>4</v>
      </c>
      <c r="J40">
        <v>5</v>
      </c>
      <c r="S40">
        <v>6</v>
      </c>
    </row>
    <row r="41" spans="1:26" x14ac:dyDescent="0.25">
      <c r="B41" t="s">
        <v>2</v>
      </c>
      <c r="C41" t="s">
        <v>12</v>
      </c>
      <c r="D41" t="s">
        <v>3</v>
      </c>
      <c r="E41" t="s">
        <v>1</v>
      </c>
      <c r="F41" t="s">
        <v>4</v>
      </c>
      <c r="G41" t="s">
        <v>5</v>
      </c>
      <c r="H41" t="s">
        <v>13</v>
      </c>
      <c r="K41" t="s">
        <v>2</v>
      </c>
      <c r="L41" t="s">
        <v>12</v>
      </c>
      <c r="M41" t="s">
        <v>3</v>
      </c>
      <c r="N41" t="s">
        <v>1</v>
      </c>
      <c r="O41" t="s">
        <v>4</v>
      </c>
      <c r="P41" t="s">
        <v>5</v>
      </c>
      <c r="Q41" t="s">
        <v>13</v>
      </c>
      <c r="T41" t="s">
        <v>2</v>
      </c>
      <c r="U41" t="s">
        <v>12</v>
      </c>
      <c r="V41" t="s">
        <v>3</v>
      </c>
      <c r="W41" t="s">
        <v>1</v>
      </c>
      <c r="X41" t="s">
        <v>4</v>
      </c>
      <c r="Y41" t="s">
        <v>5</v>
      </c>
      <c r="Z41" t="s">
        <v>13</v>
      </c>
    </row>
    <row r="42" spans="1:26" x14ac:dyDescent="0.25">
      <c r="B42">
        <f>1 - D42</f>
        <v>1</v>
      </c>
      <c r="C42">
        <f>MAX((B42-A$7)/(1 - A$7), 0)</f>
        <v>1</v>
      </c>
      <c r="D42">
        <v>0</v>
      </c>
      <c r="E42">
        <f>H42^F$4</f>
        <v>0</v>
      </c>
      <c r="F42" s="3">
        <f>C42^F$4</f>
        <v>1</v>
      </c>
      <c r="G42" s="2">
        <f>D$7*(C42^(-F$4))</f>
        <v>3870.6278560460955</v>
      </c>
      <c r="H42">
        <f>MAX((D42-C$4)/(1-C$4), 0)</f>
        <v>0</v>
      </c>
      <c r="K42">
        <f>1 - M42</f>
        <v>1</v>
      </c>
      <c r="L42">
        <f>MAX((K42-A$8)/(1 - A$8), 0)</f>
        <v>1</v>
      </c>
      <c r="M42">
        <v>0</v>
      </c>
      <c r="N42">
        <f>Q42^F$4</f>
        <v>0</v>
      </c>
      <c r="O42" s="3">
        <f>L42^F$4</f>
        <v>1</v>
      </c>
      <c r="P42" s="2">
        <f>D$8*(L42^(-F$4))</f>
        <v>3060</v>
      </c>
      <c r="Q42">
        <f>MAX((M42-C$4)/(1-C$4), 0)</f>
        <v>0</v>
      </c>
      <c r="T42">
        <f>1 - V42</f>
        <v>1</v>
      </c>
      <c r="U42">
        <f>MAX((T42-A$9)/(1 - A$9), 0)</f>
        <v>1</v>
      </c>
      <c r="V42">
        <v>0</v>
      </c>
      <c r="W42">
        <f>Z42^F$4</f>
        <v>0</v>
      </c>
      <c r="X42" s="3">
        <f>U42^F$4</f>
        <v>1</v>
      </c>
      <c r="Y42" s="2">
        <f>D$9*(U42^(-F$4))</f>
        <v>2560.1796811942709</v>
      </c>
      <c r="Z42">
        <f>MAX((V42-C$4)/(1-C$4), 0)</f>
        <v>0</v>
      </c>
    </row>
    <row r="43" spans="1:26" x14ac:dyDescent="0.25">
      <c r="B43">
        <f>1 - D43</f>
        <v>0.95</v>
      </c>
      <c r="C43">
        <f t="shared" ref="C43:C62" si="10">MAX((B43-A$7)/(1 - A$7), 0)</f>
        <v>0.94318181818181812</v>
      </c>
      <c r="D43">
        <v>0.05</v>
      </c>
      <c r="E43">
        <f>H43^F$4</f>
        <v>0</v>
      </c>
      <c r="F43" s="3">
        <f t="shared" ref="F43:F62" si="11">C43^F$4</f>
        <v>0.91599505753893806</v>
      </c>
      <c r="G43" s="2">
        <f t="shared" ref="G43:G62" si="12">D$7*(C43^(-F$4))</f>
        <v>4225.5990621232786</v>
      </c>
      <c r="H43">
        <f>MAX((D43-C$4)/(1-C$4), 0)</f>
        <v>0</v>
      </c>
      <c r="K43">
        <f>1 - M43</f>
        <v>0.95</v>
      </c>
      <c r="L43">
        <f t="shared" ref="L43:L62" si="13">MAX((K43-A$8)/(1 - A$8), 0)</f>
        <v>0.94318181818181812</v>
      </c>
      <c r="M43">
        <v>0.05</v>
      </c>
      <c r="N43">
        <f>Q43^F$4</f>
        <v>0</v>
      </c>
      <c r="O43" s="3">
        <f t="shared" ref="O43:O62" si="14">L43^F$4</f>
        <v>0.91599505753893806</v>
      </c>
      <c r="P43" s="2">
        <f t="shared" ref="P43:P62" si="15">D$8*(L43^(-F$4))</f>
        <v>3340.6293787452255</v>
      </c>
      <c r="Q43">
        <f>MAX((M43-C$4)/(1-C$4), 0)</f>
        <v>0</v>
      </c>
      <c r="T43">
        <f>1 - V43</f>
        <v>0.95</v>
      </c>
      <c r="U43">
        <f t="shared" ref="U43:U62" si="16">MAX((T43-A$9)/(1 - A$9), 0)</f>
        <v>0.94444444444444442</v>
      </c>
      <c r="V43">
        <v>0.05</v>
      </c>
      <c r="W43">
        <f>Z43^F$4</f>
        <v>0</v>
      </c>
      <c r="X43" s="3">
        <f t="shared" ref="X43:X61" si="17">U43^F$4</f>
        <v>0.91783502048490839</v>
      </c>
      <c r="Y43" s="2">
        <f t="shared" ref="Y43:Y62" si="18">D$9*(U43^(-F$4))</f>
        <v>2789.3680498720596</v>
      </c>
      <c r="Z43">
        <f>MAX((V43-C$4)/(1-C$4), 0)</f>
        <v>0</v>
      </c>
    </row>
    <row r="44" spans="1:26" x14ac:dyDescent="0.25">
      <c r="B44">
        <f>1 - D44</f>
        <v>0.9</v>
      </c>
      <c r="C44">
        <f t="shared" si="10"/>
        <v>0.88636363636363635</v>
      </c>
      <c r="D44">
        <v>0.1</v>
      </c>
      <c r="E44">
        <f>H44^F$4</f>
        <v>0</v>
      </c>
      <c r="F44" s="3">
        <f t="shared" si="11"/>
        <v>0.83448377263544538</v>
      </c>
      <c r="G44" s="2">
        <f t="shared" si="12"/>
        <v>4638.3500590095091</v>
      </c>
      <c r="H44">
        <f>MAX((D44-C$4)/(1-C$4), 0)</f>
        <v>0</v>
      </c>
      <c r="K44">
        <f>1 - M44</f>
        <v>0.9</v>
      </c>
      <c r="L44">
        <f t="shared" si="13"/>
        <v>0.88636363636363635</v>
      </c>
      <c r="M44">
        <v>0.1</v>
      </c>
      <c r="N44">
        <f>Q44^F$4</f>
        <v>0</v>
      </c>
      <c r="O44" s="3">
        <f t="shared" si="14"/>
        <v>0.83448377263544538</v>
      </c>
      <c r="P44" s="2">
        <f t="shared" si="15"/>
        <v>3666.9376929116142</v>
      </c>
      <c r="Q44">
        <f>MAX((M44-C$4)/(1-C$4), 0)</f>
        <v>0</v>
      </c>
      <c r="T44">
        <f>1 - V44</f>
        <v>0.9</v>
      </c>
      <c r="U44">
        <f t="shared" si="16"/>
        <v>0.88888888888888895</v>
      </c>
      <c r="V44">
        <v>0.1</v>
      </c>
      <c r="W44">
        <f>Z44^F$4</f>
        <v>0</v>
      </c>
      <c r="X44" s="3">
        <f t="shared" si="17"/>
        <v>0.83805248140627864</v>
      </c>
      <c r="Y44" s="2">
        <f t="shared" si="18"/>
        <v>3054.9156979980635</v>
      </c>
      <c r="Z44">
        <f>MAX((V44-C$4)/(1-C$4), 0)</f>
        <v>0</v>
      </c>
    </row>
    <row r="45" spans="1:26" x14ac:dyDescent="0.25">
      <c r="B45">
        <f>1 - D45</f>
        <v>0.85</v>
      </c>
      <c r="C45">
        <f t="shared" si="10"/>
        <v>0.82954545454545447</v>
      </c>
      <c r="D45">
        <v>0.15</v>
      </c>
      <c r="E45">
        <f>H45^F$4</f>
        <v>1.30945700219731E-2</v>
      </c>
      <c r="F45" s="3">
        <f t="shared" si="11"/>
        <v>0.75554490619551284</v>
      </c>
      <c r="G45" s="2">
        <f t="shared" si="12"/>
        <v>5122.9620162967394</v>
      </c>
      <c r="H45">
        <f>MAX((D45-C$4)/(1-C$4), 0)</f>
        <v>5.5555555555555539E-2</v>
      </c>
      <c r="K45">
        <f>1 - M45</f>
        <v>0.85</v>
      </c>
      <c r="L45">
        <f t="shared" si="13"/>
        <v>0.82954545454545447</v>
      </c>
      <c r="M45">
        <v>0.15</v>
      </c>
      <c r="N45">
        <f>Q45^F$4</f>
        <v>1.30945700219731E-2</v>
      </c>
      <c r="O45" s="3">
        <f t="shared" si="14"/>
        <v>0.75554490619551284</v>
      </c>
      <c r="P45" s="2">
        <f t="shared" si="15"/>
        <v>4050.0570845065849</v>
      </c>
      <c r="Q45">
        <f>MAX((M45-C$4)/(1-C$4), 0)</f>
        <v>5.5555555555555539E-2</v>
      </c>
      <c r="T45">
        <f>1 - V45</f>
        <v>0.85</v>
      </c>
      <c r="U45">
        <f t="shared" si="16"/>
        <v>0.83333333333333326</v>
      </c>
      <c r="V45">
        <v>0.15</v>
      </c>
      <c r="W45">
        <f>Z45^F$4</f>
        <v>1.30945700219731E-2</v>
      </c>
      <c r="X45" s="3">
        <f t="shared" si="17"/>
        <v>0.76072577431273058</v>
      </c>
      <c r="Y45" s="2">
        <f t="shared" si="18"/>
        <v>3365.4435903755693</v>
      </c>
      <c r="Z45">
        <f>MAX((V45-C$4)/(1-C$4), 0)</f>
        <v>5.5555555555555539E-2</v>
      </c>
    </row>
    <row r="46" spans="1:26" x14ac:dyDescent="0.25">
      <c r="B46">
        <f>1 - D46</f>
        <v>0.8</v>
      </c>
      <c r="C46">
        <f t="shared" si="10"/>
        <v>0.77272727272727282</v>
      </c>
      <c r="D46">
        <v>0.2</v>
      </c>
      <c r="E46">
        <f>H46^F$4</f>
        <v>3.7037037037037049E-2</v>
      </c>
      <c r="F46" s="3">
        <f t="shared" si="11"/>
        <v>0.67926519276618436</v>
      </c>
      <c r="G46" s="2">
        <f t="shared" si="12"/>
        <v>5698.257318741249</v>
      </c>
      <c r="H46">
        <f>MAX((D46-C$4)/(1-C$4), 0)</f>
        <v>0.11111111111111112</v>
      </c>
      <c r="K46">
        <f>1 - M46</f>
        <v>0.8</v>
      </c>
      <c r="L46">
        <f t="shared" si="13"/>
        <v>0.77272727272727282</v>
      </c>
      <c r="M46">
        <v>0.2</v>
      </c>
      <c r="N46">
        <f>Q46^F$4</f>
        <v>3.7037037037037049E-2</v>
      </c>
      <c r="O46" s="3">
        <f t="shared" si="14"/>
        <v>0.67926519276618436</v>
      </c>
      <c r="P46" s="2">
        <f t="shared" si="15"/>
        <v>4504.8679552366057</v>
      </c>
      <c r="Q46">
        <f>MAX((M46-C$4)/(1-C$4), 0)</f>
        <v>0.11111111111111112</v>
      </c>
      <c r="T46">
        <f>1 - V46</f>
        <v>0.8</v>
      </c>
      <c r="U46">
        <f t="shared" si="16"/>
        <v>0.77777777777777779</v>
      </c>
      <c r="V46">
        <v>0.2</v>
      </c>
      <c r="W46">
        <f>Z46^F$4</f>
        <v>3.7037037037037049E-2</v>
      </c>
      <c r="X46" s="3">
        <f t="shared" si="17"/>
        <v>0.68593552509081979</v>
      </c>
      <c r="Y46" s="2">
        <f t="shared" si="18"/>
        <v>3732.3911469015925</v>
      </c>
      <c r="Z46">
        <f>MAX((V46-C$4)/(1-C$4), 0)</f>
        <v>0.11111111111111112</v>
      </c>
    </row>
    <row r="47" spans="1:26" x14ac:dyDescent="0.25">
      <c r="B47">
        <f>1 - D47</f>
        <v>0.75</v>
      </c>
      <c r="C47">
        <f t="shared" si="10"/>
        <v>0.71590909090909094</v>
      </c>
      <c r="D47">
        <v>0.25</v>
      </c>
      <c r="E47">
        <f>H47^F$4</f>
        <v>6.8041381743977156E-2</v>
      </c>
      <c r="F47" s="3">
        <f t="shared" si="11"/>
        <v>0.60574078488953309</v>
      </c>
      <c r="G47" s="2">
        <f t="shared" si="12"/>
        <v>6389.9079484171916</v>
      </c>
      <c r="H47">
        <f>MAX((D47-C$4)/(1-C$4), 0)</f>
        <v>0.16666666666666666</v>
      </c>
      <c r="K47">
        <f>1 - M47</f>
        <v>0.75</v>
      </c>
      <c r="L47">
        <f t="shared" si="13"/>
        <v>0.71590909090909094</v>
      </c>
      <c r="M47">
        <v>0.25</v>
      </c>
      <c r="N47">
        <f>Q47^F$4</f>
        <v>6.8041381743977156E-2</v>
      </c>
      <c r="O47" s="3">
        <f t="shared" si="14"/>
        <v>0.60574078488953309</v>
      </c>
      <c r="P47" s="2">
        <f t="shared" si="15"/>
        <v>5051.6657889530125</v>
      </c>
      <c r="Q47">
        <f>MAX((M47-C$4)/(1-C$4), 0)</f>
        <v>0.16666666666666666</v>
      </c>
      <c r="T47">
        <f>1 - V47</f>
        <v>0.75</v>
      </c>
      <c r="U47">
        <f t="shared" si="16"/>
        <v>0.72222222222222221</v>
      </c>
      <c r="V47">
        <v>0.25</v>
      </c>
      <c r="W47">
        <f>Z47^F$4</f>
        <v>6.8041381743977156E-2</v>
      </c>
      <c r="X47" s="3">
        <f t="shared" si="17"/>
        <v>0.61377086737690922</v>
      </c>
      <c r="Y47" s="2">
        <f t="shared" si="18"/>
        <v>4171.2303683226073</v>
      </c>
      <c r="Z47">
        <f>MAX((V47-C$4)/(1-C$4), 0)</f>
        <v>0.16666666666666666</v>
      </c>
    </row>
    <row r="48" spans="1:26" x14ac:dyDescent="0.25">
      <c r="B48">
        <f>1 - D48</f>
        <v>0.7</v>
      </c>
      <c r="C48">
        <f t="shared" si="10"/>
        <v>0.65909090909090906</v>
      </c>
      <c r="D48">
        <v>0.3</v>
      </c>
      <c r="E48">
        <f>H48^F$4</f>
        <v>0.10475656017578483</v>
      </c>
      <c r="F48" s="3">
        <f t="shared" si="11"/>
        <v>0.53507909285667432</v>
      </c>
      <c r="G48" s="2">
        <f t="shared" si="12"/>
        <v>7233.7490059303764</v>
      </c>
      <c r="H48">
        <f>MAX((D48-C$4)/(1-C$4), 0)</f>
        <v>0.22222222222222221</v>
      </c>
      <c r="K48">
        <f>1 - M48</f>
        <v>0.7</v>
      </c>
      <c r="L48">
        <f t="shared" si="13"/>
        <v>0.65909090909090906</v>
      </c>
      <c r="M48">
        <v>0.3</v>
      </c>
      <c r="N48">
        <f>Q48^F$4</f>
        <v>0.10475656017578483</v>
      </c>
      <c r="O48" s="3">
        <f t="shared" si="14"/>
        <v>0.53507909285667432</v>
      </c>
      <c r="P48" s="2">
        <f t="shared" si="15"/>
        <v>5718.7807201797141</v>
      </c>
      <c r="Q48">
        <f>MAX((M48-C$4)/(1-C$4), 0)</f>
        <v>0.22222222222222221</v>
      </c>
      <c r="T48">
        <f>1 - V48</f>
        <v>0.7</v>
      </c>
      <c r="U48">
        <f t="shared" si="16"/>
        <v>0.66666666666666663</v>
      </c>
      <c r="V48">
        <v>0.3</v>
      </c>
      <c r="W48">
        <f>Z48^F$4</f>
        <v>0.10475656017578483</v>
      </c>
      <c r="X48" s="3">
        <f t="shared" si="17"/>
        <v>0.54433105395181725</v>
      </c>
      <c r="Y48" s="2">
        <f t="shared" si="18"/>
        <v>4703.3504015754561</v>
      </c>
      <c r="Z48">
        <f>MAX((V48-C$4)/(1-C$4), 0)</f>
        <v>0.22222222222222221</v>
      </c>
    </row>
    <row r="49" spans="2:26" x14ac:dyDescent="0.25">
      <c r="B49">
        <f>1 - D49</f>
        <v>0.65</v>
      </c>
      <c r="C49">
        <f t="shared" si="10"/>
        <v>0.60227272727272729</v>
      </c>
      <c r="D49">
        <v>0.35</v>
      </c>
      <c r="E49">
        <f>H49^F$4</f>
        <v>0.14640174352631383</v>
      </c>
      <c r="F49" s="3">
        <f t="shared" si="11"/>
        <v>0.46740117106667628</v>
      </c>
      <c r="G49" s="2">
        <f t="shared" si="12"/>
        <v>8281.1685028789489</v>
      </c>
      <c r="H49">
        <f>MAX((D49-C$4)/(1-C$4), 0)</f>
        <v>0.27777777777777773</v>
      </c>
      <c r="K49">
        <f>1 - M49</f>
        <v>0.65</v>
      </c>
      <c r="L49">
        <f t="shared" si="13"/>
        <v>0.60227272727272729</v>
      </c>
      <c r="M49">
        <v>0.35</v>
      </c>
      <c r="N49">
        <f>Q49^F$4</f>
        <v>0.14640174352631383</v>
      </c>
      <c r="O49" s="3">
        <f t="shared" si="14"/>
        <v>0.46740117106667628</v>
      </c>
      <c r="P49" s="2">
        <f t="shared" si="15"/>
        <v>6546.8385391860329</v>
      </c>
      <c r="Q49">
        <f>MAX((M49-C$4)/(1-C$4), 0)</f>
        <v>0.27777777777777773</v>
      </c>
      <c r="T49">
        <f>1 - V49</f>
        <v>0.65</v>
      </c>
      <c r="U49">
        <f t="shared" si="16"/>
        <v>0.61111111111111116</v>
      </c>
      <c r="V49">
        <v>0.35</v>
      </c>
      <c r="W49">
        <f>Z49^F$4</f>
        <v>0.14640174352631383</v>
      </c>
      <c r="X49" s="3">
        <f t="shared" si="17"/>
        <v>0.47772753109312716</v>
      </c>
      <c r="Y49" s="2">
        <f t="shared" si="18"/>
        <v>5359.0792126552051</v>
      </c>
      <c r="Z49">
        <f>MAX((V49-C$4)/(1-C$4), 0)</f>
        <v>0.27777777777777773</v>
      </c>
    </row>
    <row r="50" spans="2:26" x14ac:dyDescent="0.25">
      <c r="B50">
        <f>1 - D50</f>
        <v>0.6</v>
      </c>
      <c r="C50">
        <f t="shared" si="10"/>
        <v>0.54545454545454541</v>
      </c>
      <c r="D50">
        <v>0.4</v>
      </c>
      <c r="E50">
        <f>H50^F$4</f>
        <v>0.19245008972987529</v>
      </c>
      <c r="F50" s="3">
        <f t="shared" si="11"/>
        <v>0.40284487956872528</v>
      </c>
      <c r="G50" s="2">
        <f t="shared" si="12"/>
        <v>9608.2339688415141</v>
      </c>
      <c r="H50">
        <f>MAX((D50-C$4)/(1-C$4), 0)</f>
        <v>0.33333333333333337</v>
      </c>
      <c r="K50">
        <f>1 - M50</f>
        <v>0.6</v>
      </c>
      <c r="L50">
        <f t="shared" si="13"/>
        <v>0.54545454545454541</v>
      </c>
      <c r="M50">
        <v>0.4</v>
      </c>
      <c r="N50">
        <f>Q50^F$4</f>
        <v>0.19245008972987529</v>
      </c>
      <c r="O50" s="3">
        <f t="shared" si="14"/>
        <v>0.40284487956872528</v>
      </c>
      <c r="P50" s="2">
        <f t="shared" si="15"/>
        <v>7595.9759083346235</v>
      </c>
      <c r="Q50">
        <f>MAX((M50-C$4)/(1-C$4), 0)</f>
        <v>0.33333333333333337</v>
      </c>
      <c r="T50">
        <f>1 - V50</f>
        <v>0.6</v>
      </c>
      <c r="U50">
        <f t="shared" si="16"/>
        <v>0.55555555555555558</v>
      </c>
      <c r="V50">
        <v>0.4</v>
      </c>
      <c r="W50">
        <f>Z50^F$4</f>
        <v>0.19245008972987529</v>
      </c>
      <c r="X50" s="3">
        <f t="shared" si="17"/>
        <v>0.41408666249996112</v>
      </c>
      <c r="Y50" s="2">
        <f t="shared" si="18"/>
        <v>6182.7146659052587</v>
      </c>
      <c r="Z50">
        <f>MAX((V50-C$4)/(1-C$4), 0)</f>
        <v>0.33333333333333337</v>
      </c>
    </row>
    <row r="51" spans="2:26" x14ac:dyDescent="0.25">
      <c r="B51">
        <f>1 - D51</f>
        <v>0.55000000000000004</v>
      </c>
      <c r="C51">
        <f t="shared" si="10"/>
        <v>0.4886363636363637</v>
      </c>
      <c r="D51">
        <v>0.45</v>
      </c>
      <c r="E51">
        <f>H51^F$4</f>
        <v>0.2425148306242369</v>
      </c>
      <c r="F51" s="3">
        <f t="shared" si="11"/>
        <v>0.34156917844363494</v>
      </c>
      <c r="G51" s="2">
        <f t="shared" si="12"/>
        <v>11331.900242529695</v>
      </c>
      <c r="H51">
        <f>MAX((D51-C$4)/(1-C$4), 0)</f>
        <v>0.38888888888888884</v>
      </c>
      <c r="K51">
        <f>1 - M51</f>
        <v>0.55000000000000004</v>
      </c>
      <c r="L51">
        <f t="shared" si="13"/>
        <v>0.4886363636363637</v>
      </c>
      <c r="M51">
        <v>0.45</v>
      </c>
      <c r="N51">
        <f>Q51^F$4</f>
        <v>0.2425148306242369</v>
      </c>
      <c r="O51" s="3">
        <f t="shared" si="14"/>
        <v>0.34156917844363494</v>
      </c>
      <c r="P51" s="2">
        <f t="shared" si="15"/>
        <v>8958.6537460520758</v>
      </c>
      <c r="Q51">
        <f>MAX((M51-C$4)/(1-C$4), 0)</f>
        <v>0.38888888888888884</v>
      </c>
      <c r="T51">
        <f>1 - V51</f>
        <v>0.55000000000000004</v>
      </c>
      <c r="U51">
        <f t="shared" si="16"/>
        <v>0.50000000000000011</v>
      </c>
      <c r="V51">
        <v>0.45</v>
      </c>
      <c r="W51">
        <f>Z51^F$4</f>
        <v>0.2425148306242369</v>
      </c>
      <c r="X51" s="3">
        <f t="shared" si="17"/>
        <v>0.3535533905932739</v>
      </c>
      <c r="Y51" s="2">
        <f t="shared" si="18"/>
        <v>7241.2816545139267</v>
      </c>
      <c r="Z51">
        <f>MAX((V51-C$4)/(1-C$4), 0)</f>
        <v>0.38888888888888884</v>
      </c>
    </row>
    <row r="52" spans="2:26" x14ac:dyDescent="0.25">
      <c r="B52">
        <f>1 - D52</f>
        <v>0.5</v>
      </c>
      <c r="C52">
        <f t="shared" si="10"/>
        <v>0.43181818181818182</v>
      </c>
      <c r="D52">
        <v>0.5</v>
      </c>
      <c r="E52">
        <f>H52^F$4</f>
        <v>0.29629629629629634</v>
      </c>
      <c r="F52" s="3">
        <f t="shared" si="11"/>
        <v>0.28376013801778749</v>
      </c>
      <c r="G52" s="2">
        <f t="shared" si="12"/>
        <v>13640.491871354621</v>
      </c>
      <c r="H52">
        <f>MAX((D52-C$4)/(1-C$4), 0)</f>
        <v>0.44444444444444448</v>
      </c>
      <c r="K52">
        <f>1 - M52</f>
        <v>0.5</v>
      </c>
      <c r="L52">
        <f t="shared" si="13"/>
        <v>0.43181818181818182</v>
      </c>
      <c r="M52">
        <v>0.5</v>
      </c>
      <c r="N52">
        <f>Q52^F$4</f>
        <v>0.29629629629629634</v>
      </c>
      <c r="O52" s="3">
        <f t="shared" si="14"/>
        <v>0.28376013801778749</v>
      </c>
      <c r="P52" s="2">
        <f t="shared" si="15"/>
        <v>10783.755679623275</v>
      </c>
      <c r="Q52">
        <f>MAX((M52-C$4)/(1-C$4), 0)</f>
        <v>0.44444444444444448</v>
      </c>
      <c r="T52">
        <f>1 - V52</f>
        <v>0.5</v>
      </c>
      <c r="U52">
        <f t="shared" si="16"/>
        <v>0.44444444444444448</v>
      </c>
      <c r="V52">
        <v>0.5</v>
      </c>
      <c r="W52">
        <f>Z52^F$4</f>
        <v>0.29629629629629634</v>
      </c>
      <c r="X52" s="3">
        <f t="shared" si="17"/>
        <v>0.29629629629629634</v>
      </c>
      <c r="Y52" s="2">
        <f t="shared" si="18"/>
        <v>8640.6064240306623</v>
      </c>
      <c r="Z52">
        <f>MAX((V52-C$4)/(1-C$4), 0)</f>
        <v>0.44444444444444448</v>
      </c>
    </row>
    <row r="53" spans="2:26" x14ac:dyDescent="0.25">
      <c r="B53">
        <f>1 - D53</f>
        <v>0.44999999999999996</v>
      </c>
      <c r="C53">
        <f t="shared" si="10"/>
        <v>0.37499999999999994</v>
      </c>
      <c r="D53">
        <v>0.55000000000000004</v>
      </c>
      <c r="E53">
        <f>H53^F$4</f>
        <v>0.3535533905932739</v>
      </c>
      <c r="F53" s="3">
        <f t="shared" si="11"/>
        <v>0.22963966338592287</v>
      </c>
      <c r="G53" s="2">
        <f t="shared" si="12"/>
        <v>16855.223522694683</v>
      </c>
      <c r="H53">
        <f>MAX((D53-C$4)/(1-C$4), 0)</f>
        <v>0.50000000000000011</v>
      </c>
      <c r="K53">
        <f>1 - M53</f>
        <v>0.44999999999999996</v>
      </c>
      <c r="L53">
        <f t="shared" si="13"/>
        <v>0.37499999999999994</v>
      </c>
      <c r="M53">
        <v>0.55000000000000004</v>
      </c>
      <c r="N53">
        <f>Q53^F$4</f>
        <v>0.3535533905932739</v>
      </c>
      <c r="O53" s="3">
        <f t="shared" si="14"/>
        <v>0.22963966338592287</v>
      </c>
      <c r="P53" s="2">
        <f t="shared" si="15"/>
        <v>13325.224200740495</v>
      </c>
      <c r="Q53">
        <f>MAX((M53-C$4)/(1-C$4), 0)</f>
        <v>0.50000000000000011</v>
      </c>
      <c r="T53">
        <f>1 - V53</f>
        <v>0.44999999999999996</v>
      </c>
      <c r="U53">
        <f t="shared" si="16"/>
        <v>0.38888888888888884</v>
      </c>
      <c r="V53">
        <v>0.55000000000000004</v>
      </c>
      <c r="W53">
        <f>Z53^F$4</f>
        <v>0.3535533905932739</v>
      </c>
      <c r="X53" s="3">
        <f t="shared" si="17"/>
        <v>0.2425148306242369</v>
      </c>
      <c r="Y53" s="2">
        <f t="shared" si="18"/>
        <v>10556.796360059008</v>
      </c>
      <c r="Z53">
        <f>MAX((V53-C$4)/(1-C$4), 0)</f>
        <v>0.50000000000000011</v>
      </c>
    </row>
    <row r="54" spans="2:26" x14ac:dyDescent="0.25">
      <c r="B54">
        <f>1 - D54</f>
        <v>0.4</v>
      </c>
      <c r="C54">
        <f t="shared" si="10"/>
        <v>0.31818181818181823</v>
      </c>
      <c r="D54">
        <v>0.6</v>
      </c>
      <c r="E54">
        <f>H54^F$4</f>
        <v>0.41408666249996112</v>
      </c>
      <c r="F54" s="3">
        <f t="shared" si="11"/>
        <v>0.17947875107838021</v>
      </c>
      <c r="G54" s="2">
        <f t="shared" si="12"/>
        <v>21565.939325908013</v>
      </c>
      <c r="H54">
        <f>MAX((D54-C$4)/(1-C$4), 0)</f>
        <v>0.55555555555555558</v>
      </c>
      <c r="K54">
        <f>1 - M54</f>
        <v>0.4</v>
      </c>
      <c r="L54">
        <f t="shared" si="13"/>
        <v>0.31818181818181823</v>
      </c>
      <c r="M54">
        <v>0.6</v>
      </c>
      <c r="N54">
        <f>Q54^F$4</f>
        <v>0.41408666249996112</v>
      </c>
      <c r="O54" s="3">
        <f t="shared" si="14"/>
        <v>0.17947875107838021</v>
      </c>
      <c r="P54" s="2">
        <f t="shared" si="15"/>
        <v>17049.37203771641</v>
      </c>
      <c r="Q54">
        <f>MAX((M54-C$4)/(1-C$4), 0)</f>
        <v>0.55555555555555558</v>
      </c>
      <c r="T54">
        <f>1 - V54</f>
        <v>0.4</v>
      </c>
      <c r="U54">
        <f t="shared" si="16"/>
        <v>0.33333333333333337</v>
      </c>
      <c r="V54">
        <v>0.6</v>
      </c>
      <c r="W54">
        <f>Z54^F$4</f>
        <v>0.41408666249996112</v>
      </c>
      <c r="X54" s="3">
        <f t="shared" si="17"/>
        <v>0.19245008972987529</v>
      </c>
      <c r="Y54" s="2">
        <f t="shared" si="18"/>
        <v>13303.083853001901</v>
      </c>
      <c r="Z54">
        <f>MAX((V54-C$4)/(1-C$4), 0)</f>
        <v>0.55555555555555558</v>
      </c>
    </row>
    <row r="55" spans="2:26" x14ac:dyDescent="0.25">
      <c r="B55">
        <f>1 - D55</f>
        <v>0.35</v>
      </c>
      <c r="C55">
        <f t="shared" si="10"/>
        <v>0.26136363636363635</v>
      </c>
      <c r="D55">
        <v>0.65</v>
      </c>
      <c r="E55">
        <f>H55^F$4</f>
        <v>0.47772753109312716</v>
      </c>
      <c r="F55" s="3">
        <f t="shared" si="11"/>
        <v>0.13361885496985842</v>
      </c>
      <c r="G55" s="2">
        <f t="shared" si="12"/>
        <v>28967.677180883096</v>
      </c>
      <c r="H55">
        <f>MAX((D55-C$4)/(1-C$4), 0)</f>
        <v>0.61111111111111116</v>
      </c>
      <c r="K55">
        <f>1 - M55</f>
        <v>0.35</v>
      </c>
      <c r="L55">
        <f t="shared" si="13"/>
        <v>0.26136363636363635</v>
      </c>
      <c r="M55">
        <v>0.65</v>
      </c>
      <c r="N55">
        <f>Q55^F$4</f>
        <v>0.47772753109312716</v>
      </c>
      <c r="O55" s="3">
        <f t="shared" si="14"/>
        <v>0.13361885496985842</v>
      </c>
      <c r="P55" s="2">
        <f t="shared" si="15"/>
        <v>22900.959604018994</v>
      </c>
      <c r="Q55">
        <f>MAX((M55-C$4)/(1-C$4), 0)</f>
        <v>0.61111111111111116</v>
      </c>
      <c r="T55">
        <f>1 - V55</f>
        <v>0.35</v>
      </c>
      <c r="U55">
        <f t="shared" si="16"/>
        <v>0.27777777777777773</v>
      </c>
      <c r="V55">
        <v>0.65</v>
      </c>
      <c r="W55">
        <f>Z55^F$4</f>
        <v>0.47772753109312716</v>
      </c>
      <c r="X55" s="3">
        <f t="shared" si="17"/>
        <v>0.14640174352631383</v>
      </c>
      <c r="Y55" s="2">
        <f t="shared" si="18"/>
        <v>17487.357865612517</v>
      </c>
      <c r="Z55">
        <f>MAX((V55-C$4)/(1-C$4), 0)</f>
        <v>0.61111111111111116</v>
      </c>
    </row>
    <row r="56" spans="2:26" x14ac:dyDescent="0.25">
      <c r="B56">
        <f>1 - D56</f>
        <v>0.30000000000000004</v>
      </c>
      <c r="C56">
        <f t="shared" si="10"/>
        <v>0.20454545454545461</v>
      </c>
      <c r="D56">
        <v>0.7</v>
      </c>
      <c r="E56">
        <f>H56^F$4</f>
        <v>0.54433105395181725</v>
      </c>
      <c r="F56" s="3">
        <f t="shared" si="11"/>
        <v>9.2509162540904799E-2</v>
      </c>
      <c r="G56" s="2">
        <f t="shared" si="12"/>
        <v>41840.480983001216</v>
      </c>
      <c r="H56">
        <f>MAX((D56-C$4)/(1-C$4), 0)</f>
        <v>0.66666666666666663</v>
      </c>
      <c r="K56">
        <f>1 - M56</f>
        <v>0.30000000000000004</v>
      </c>
      <c r="L56">
        <f t="shared" si="13"/>
        <v>0.20454545454545461</v>
      </c>
      <c r="M56">
        <v>0.7</v>
      </c>
      <c r="N56">
        <f>Q56^F$4</f>
        <v>0.54433105395181725</v>
      </c>
      <c r="O56" s="3">
        <f t="shared" si="14"/>
        <v>9.2509162540904799E-2</v>
      </c>
      <c r="P56" s="2">
        <f t="shared" si="15"/>
        <v>33077.804575811169</v>
      </c>
      <c r="Q56">
        <f>MAX((M56-C$4)/(1-C$4), 0)</f>
        <v>0.66666666666666663</v>
      </c>
      <c r="T56">
        <f>1 - V56</f>
        <v>0.30000000000000004</v>
      </c>
      <c r="U56">
        <f t="shared" si="16"/>
        <v>0.22222222222222227</v>
      </c>
      <c r="V56">
        <v>0.7</v>
      </c>
      <c r="W56">
        <f>Z56^F$4</f>
        <v>0.54433105395181725</v>
      </c>
      <c r="X56" s="3">
        <f t="shared" si="17"/>
        <v>0.10475656017578483</v>
      </c>
      <c r="Y56" s="2">
        <f t="shared" si="18"/>
        <v>24439.325583984508</v>
      </c>
      <c r="Z56">
        <f>MAX((V56-C$4)/(1-C$4), 0)</f>
        <v>0.66666666666666663</v>
      </c>
    </row>
    <row r="57" spans="2:26" x14ac:dyDescent="0.25">
      <c r="B57">
        <f>1 - D57</f>
        <v>0.25</v>
      </c>
      <c r="C57">
        <f t="shared" si="10"/>
        <v>0.14772727272727273</v>
      </c>
      <c r="D57">
        <v>0.75</v>
      </c>
      <c r="E57">
        <f>H57^F$4</f>
        <v>0.61377086737690922</v>
      </c>
      <c r="F57" s="3">
        <f t="shared" si="11"/>
        <v>5.6779428933042594E-2</v>
      </c>
      <c r="G57" s="2">
        <f t="shared" si="12"/>
        <v>68169.545357889234</v>
      </c>
      <c r="H57">
        <f>MAX((D57-C$4)/(1-C$4), 0)</f>
        <v>0.72222222222222221</v>
      </c>
      <c r="K57">
        <f>1 - M57</f>
        <v>0.25</v>
      </c>
      <c r="L57">
        <f t="shared" si="13"/>
        <v>0.14772727272727273</v>
      </c>
      <c r="M57">
        <v>0.75</v>
      </c>
      <c r="N57">
        <f>Q57^F$4</f>
        <v>0.61377086737690922</v>
      </c>
      <c r="O57" s="3">
        <f t="shared" si="14"/>
        <v>5.6779428933042594E-2</v>
      </c>
      <c r="P57" s="2">
        <f t="shared" si="15"/>
        <v>53892.757597272051</v>
      </c>
      <c r="Q57">
        <f>MAX((M57-C$4)/(1-C$4), 0)</f>
        <v>0.72222222222222221</v>
      </c>
      <c r="T57">
        <f>1 - V57</f>
        <v>0.25</v>
      </c>
      <c r="U57">
        <f t="shared" si="16"/>
        <v>0.16666666666666666</v>
      </c>
      <c r="V57">
        <v>0.75</v>
      </c>
      <c r="W57">
        <f>Z57^F$4</f>
        <v>0.61377086737690922</v>
      </c>
      <c r="X57" s="3">
        <f t="shared" si="17"/>
        <v>6.8041381743977156E-2</v>
      </c>
      <c r="Y57" s="2">
        <f t="shared" si="18"/>
        <v>37626.803212603649</v>
      </c>
      <c r="Z57">
        <f>MAX((V57-C$4)/(1-C$4), 0)</f>
        <v>0.72222222222222221</v>
      </c>
    </row>
    <row r="58" spans="2:26" x14ac:dyDescent="0.25">
      <c r="B58">
        <f>1 - D58</f>
        <v>0.19999999999999996</v>
      </c>
      <c r="C58">
        <f t="shared" si="10"/>
        <v>9.090909090909087E-2</v>
      </c>
      <c r="D58">
        <v>0.8</v>
      </c>
      <c r="E58">
        <f>H58^F$4</f>
        <v>0.68593552509081979</v>
      </c>
      <c r="F58" s="3">
        <f t="shared" si="11"/>
        <v>2.7410122234342117E-2</v>
      </c>
      <c r="G58" s="2">
        <f t="shared" si="12"/>
        <v>141211.62331762933</v>
      </c>
      <c r="H58">
        <f>MAX((D58-C$4)/(1-C$4), 0)</f>
        <v>0.77777777777777779</v>
      </c>
      <c r="K58">
        <f>1 - M58</f>
        <v>0.19999999999999996</v>
      </c>
      <c r="L58">
        <f t="shared" si="13"/>
        <v>9.090909090909087E-2</v>
      </c>
      <c r="M58">
        <v>0.8</v>
      </c>
      <c r="N58">
        <f>Q58^F$4</f>
        <v>0.68593552509081979</v>
      </c>
      <c r="O58" s="3">
        <f t="shared" si="14"/>
        <v>2.7410122234342117E-2</v>
      </c>
      <c r="P58" s="2">
        <f t="shared" si="15"/>
        <v>111637.59044336287</v>
      </c>
      <c r="Q58">
        <f>MAX((M58-C$4)/(1-C$4), 0)</f>
        <v>0.77777777777777779</v>
      </c>
      <c r="T58">
        <f>1 - V58</f>
        <v>0.19999999999999996</v>
      </c>
      <c r="U58">
        <f t="shared" si="16"/>
        <v>0.11111111111111105</v>
      </c>
      <c r="V58">
        <v>0.8</v>
      </c>
      <c r="W58">
        <f>Z58^F$4</f>
        <v>0.68593552509081979</v>
      </c>
      <c r="X58" s="3">
        <f t="shared" si="17"/>
        <v>3.7037037037037E-2</v>
      </c>
      <c r="Y58" s="2">
        <f t="shared" si="18"/>
        <v>69124.851392245386</v>
      </c>
      <c r="Z58">
        <f>MAX((V58-C$4)/(1-C$4), 0)</f>
        <v>0.77777777777777779</v>
      </c>
    </row>
    <row r="59" spans="2:26" x14ac:dyDescent="0.25">
      <c r="B59">
        <f>1 - D59</f>
        <v>0.15000000000000002</v>
      </c>
      <c r="C59">
        <f t="shared" si="10"/>
        <v>3.4090909090909123E-2</v>
      </c>
      <c r="D59">
        <v>0.85</v>
      </c>
      <c r="E59">
        <f>H59^F$4</f>
        <v>0.76072577431273058</v>
      </c>
      <c r="F59" s="3">
        <f t="shared" si="11"/>
        <v>6.2944512432613403E-3</v>
      </c>
      <c r="G59" s="2">
        <f t="shared" si="12"/>
        <v>614926.9740058562</v>
      </c>
      <c r="H59">
        <f>MAX((D59-C$4)/(1-C$4), 0)</f>
        <v>0.83333333333333326</v>
      </c>
      <c r="K59">
        <f>1 - M59</f>
        <v>0.15000000000000002</v>
      </c>
      <c r="L59">
        <f t="shared" si="13"/>
        <v>3.4090909090909123E-2</v>
      </c>
      <c r="M59">
        <v>0.85</v>
      </c>
      <c r="N59">
        <f>Q59^F$4</f>
        <v>0.76072577431273058</v>
      </c>
      <c r="O59" s="3">
        <f t="shared" si="14"/>
        <v>6.2944512432613403E-3</v>
      </c>
      <c r="P59" s="2">
        <f t="shared" si="15"/>
        <v>486142.45813341526</v>
      </c>
      <c r="Q59">
        <f>MAX((M59-C$4)/(1-C$4), 0)</f>
        <v>0.83333333333333326</v>
      </c>
      <c r="T59">
        <f>1 - V59</f>
        <v>0.15000000000000002</v>
      </c>
      <c r="U59">
        <f t="shared" si="16"/>
        <v>5.5555555555555573E-2</v>
      </c>
      <c r="V59">
        <v>0.85</v>
      </c>
      <c r="W59">
        <f>Z59^F$4</f>
        <v>0.76072577431273058</v>
      </c>
      <c r="X59" s="3">
        <f t="shared" si="17"/>
        <v>1.3094570021973112E-2</v>
      </c>
      <c r="Y59" s="2">
        <f t="shared" si="18"/>
        <v>195514.60467187592</v>
      </c>
      <c r="Z59">
        <f>MAX((V59-C$4)/(1-C$4), 0)</f>
        <v>0.83333333333333326</v>
      </c>
    </row>
    <row r="60" spans="2:26" x14ac:dyDescent="0.25">
      <c r="B60">
        <f>1 - D60</f>
        <v>9.9999999999999978E-2</v>
      </c>
      <c r="C60">
        <f t="shared" si="10"/>
        <v>0</v>
      </c>
      <c r="D60">
        <v>0.9</v>
      </c>
      <c r="E60">
        <f>H60^F$4</f>
        <v>0.83805248140627864</v>
      </c>
      <c r="F60" s="3">
        <f t="shared" si="11"/>
        <v>0</v>
      </c>
      <c r="G60" s="2" t="e">
        <f t="shared" si="12"/>
        <v>#DIV/0!</v>
      </c>
      <c r="H60">
        <f>MAX((D60-C$4)/(1-C$4), 0)</f>
        <v>0.88888888888888895</v>
      </c>
      <c r="K60">
        <f>1 - M60</f>
        <v>9.9999999999999978E-2</v>
      </c>
      <c r="L60">
        <f t="shared" si="13"/>
        <v>0</v>
      </c>
      <c r="M60">
        <v>0.9</v>
      </c>
      <c r="N60">
        <f>Q60^F$4</f>
        <v>0.83805248140627864</v>
      </c>
      <c r="O60" s="3">
        <f t="shared" si="14"/>
        <v>0</v>
      </c>
      <c r="P60" s="2" t="e">
        <f t="shared" si="15"/>
        <v>#DIV/0!</v>
      </c>
      <c r="Q60">
        <f>MAX((M60-C$4)/(1-C$4), 0)</f>
        <v>0.88888888888888895</v>
      </c>
      <c r="T60">
        <f>1 - V60</f>
        <v>9.9999999999999978E-2</v>
      </c>
      <c r="U60">
        <f t="shared" si="16"/>
        <v>0</v>
      </c>
      <c r="V60">
        <v>0.9</v>
      </c>
      <c r="W60">
        <f>Z60^F$4</f>
        <v>0.83805248140627864</v>
      </c>
      <c r="X60" s="3">
        <f t="shared" si="17"/>
        <v>0</v>
      </c>
      <c r="Y60" s="2" t="e">
        <f t="shared" si="18"/>
        <v>#DIV/0!</v>
      </c>
      <c r="Z60">
        <f>MAX((V60-C$4)/(1-C$4), 0)</f>
        <v>0.88888888888888895</v>
      </c>
    </row>
    <row r="61" spans="2:26" x14ac:dyDescent="0.25">
      <c r="B61">
        <f>1 - D61</f>
        <v>5.0000000000000044E-2</v>
      </c>
      <c r="C61">
        <f t="shared" si="10"/>
        <v>0</v>
      </c>
      <c r="D61">
        <v>0.95</v>
      </c>
      <c r="E61">
        <f>H61^F$4</f>
        <v>0.91783502048490839</v>
      </c>
      <c r="F61" s="3">
        <f t="shared" si="11"/>
        <v>0</v>
      </c>
      <c r="G61" s="2" t="e">
        <f t="shared" si="12"/>
        <v>#DIV/0!</v>
      </c>
      <c r="H61">
        <f>MAX((D61-C$4)/(1-C$4), 0)</f>
        <v>0.94444444444444442</v>
      </c>
      <c r="K61">
        <f>1 - M61</f>
        <v>5.0000000000000044E-2</v>
      </c>
      <c r="L61">
        <f t="shared" si="13"/>
        <v>0</v>
      </c>
      <c r="M61">
        <v>0.95</v>
      </c>
      <c r="N61">
        <f>Q61^F$4</f>
        <v>0.91783502048490839</v>
      </c>
      <c r="O61" s="3">
        <f t="shared" si="14"/>
        <v>0</v>
      </c>
      <c r="P61" s="2" t="e">
        <f t="shared" si="15"/>
        <v>#DIV/0!</v>
      </c>
      <c r="Q61">
        <f>MAX((M61-C$4)/(1-C$4), 0)</f>
        <v>0.94444444444444442</v>
      </c>
      <c r="T61">
        <f>1 - V61</f>
        <v>5.0000000000000044E-2</v>
      </c>
      <c r="U61">
        <f t="shared" si="16"/>
        <v>0</v>
      </c>
      <c r="V61">
        <v>0.95</v>
      </c>
      <c r="W61">
        <f>Z61^F$4</f>
        <v>0.91783502048490839</v>
      </c>
      <c r="X61" s="3">
        <f t="shared" si="17"/>
        <v>0</v>
      </c>
      <c r="Y61" s="2" t="e">
        <f t="shared" si="18"/>
        <v>#DIV/0!</v>
      </c>
      <c r="Z61">
        <f>MAX((V61-C$4)/(1-C$4), 0)</f>
        <v>0.94444444444444442</v>
      </c>
    </row>
    <row r="62" spans="2:26" x14ac:dyDescent="0.25">
      <c r="B62">
        <f>1 - D62</f>
        <v>0</v>
      </c>
      <c r="C62">
        <f t="shared" si="10"/>
        <v>0</v>
      </c>
      <c r="D62">
        <v>1</v>
      </c>
      <c r="E62">
        <f>H62^F$4</f>
        <v>1</v>
      </c>
      <c r="F62" s="3">
        <f t="shared" si="11"/>
        <v>0</v>
      </c>
      <c r="G62" s="2" t="e">
        <f t="shared" si="12"/>
        <v>#DIV/0!</v>
      </c>
      <c r="H62">
        <f>MAX((D62-C$4)/(1-C$4), 0)</f>
        <v>1</v>
      </c>
      <c r="K62">
        <f>1 - M62</f>
        <v>0</v>
      </c>
      <c r="L62">
        <f t="shared" si="13"/>
        <v>0</v>
      </c>
      <c r="M62">
        <v>1</v>
      </c>
      <c r="N62">
        <f>Q62^F$4</f>
        <v>1</v>
      </c>
      <c r="O62" s="3">
        <f t="shared" si="14"/>
        <v>0</v>
      </c>
      <c r="P62" s="2" t="e">
        <f t="shared" si="15"/>
        <v>#DIV/0!</v>
      </c>
      <c r="Q62">
        <f>MAX((M62-C$4)/(1-C$4), 0)</f>
        <v>1</v>
      </c>
      <c r="T62">
        <f>1 - V62</f>
        <v>0</v>
      </c>
      <c r="U62">
        <f t="shared" si="16"/>
        <v>0</v>
      </c>
      <c r="V62">
        <v>1</v>
      </c>
      <c r="W62">
        <f>Z62^F$4</f>
        <v>1</v>
      </c>
      <c r="X62">
        <f>POWER(MAX(((1 - V62) - $A$9)/(1 - $A$9), 0), $F$4)</f>
        <v>0</v>
      </c>
      <c r="Y62" s="2" t="e">
        <f t="shared" si="18"/>
        <v>#DIV/0!</v>
      </c>
      <c r="Z62">
        <f>MAX((V62-C$4)/(1-C$4), 0)</f>
        <v>1</v>
      </c>
    </row>
    <row r="63" spans="2:26" x14ac:dyDescent="0.25">
      <c r="G63" s="2"/>
    </row>
    <row r="64" spans="2:26" x14ac:dyDescent="0.25">
      <c r="G64" s="2"/>
    </row>
    <row r="65" spans="1:8" x14ac:dyDescent="0.25">
      <c r="A65">
        <v>7</v>
      </c>
    </row>
    <row r="66" spans="1:8" x14ac:dyDescent="0.25">
      <c r="B66" t="s">
        <v>2</v>
      </c>
      <c r="C66" t="s">
        <v>12</v>
      </c>
      <c r="D66" t="s">
        <v>3</v>
      </c>
      <c r="E66" t="s">
        <v>1</v>
      </c>
      <c r="F66" t="s">
        <v>4</v>
      </c>
      <c r="G66" t="s">
        <v>5</v>
      </c>
      <c r="H66" t="s">
        <v>13</v>
      </c>
    </row>
    <row r="67" spans="1:8" x14ac:dyDescent="0.25">
      <c r="B67">
        <f>1 - D67</f>
        <v>1</v>
      </c>
      <c r="C67">
        <f>MAX((B67-A$10)/(1 - A$10), 0)</f>
        <v>1</v>
      </c>
      <c r="D67">
        <v>0</v>
      </c>
      <c r="E67">
        <f>H67^F$4</f>
        <v>0</v>
      </c>
      <c r="F67" s="3">
        <f>C67^F$4</f>
        <v>1</v>
      </c>
      <c r="G67" s="2">
        <f>D$10*(C67^(-F$4))</f>
        <v>0</v>
      </c>
      <c r="H67">
        <f>MAX((D67-C$4)/(1-C$4), 0)</f>
        <v>0</v>
      </c>
    </row>
    <row r="68" spans="1:8" x14ac:dyDescent="0.25">
      <c r="B68">
        <f>1 - D68</f>
        <v>0.95</v>
      </c>
      <c r="C68">
        <f t="shared" ref="C68:C87" si="19">MAX((B68-A$10)/(1 - A$10), 0)</f>
        <v>0.95</v>
      </c>
      <c r="D68">
        <v>0.05</v>
      </c>
      <c r="E68">
        <f>H68^F$4</f>
        <v>0</v>
      </c>
      <c r="F68" s="3">
        <f t="shared" ref="F68:F87" si="20">C68^F$4</f>
        <v>0.92594546275685152</v>
      </c>
      <c r="G68" s="2">
        <f t="shared" ref="G68:G87" si="21">D$10*(C68^(-F$4))</f>
        <v>0</v>
      </c>
      <c r="H68">
        <f>MAX((D68-C$4)/(1-C$4), 0)</f>
        <v>0</v>
      </c>
    </row>
    <row r="69" spans="1:8" x14ac:dyDescent="0.25">
      <c r="B69">
        <f>1 - D69</f>
        <v>0.9</v>
      </c>
      <c r="C69">
        <f t="shared" si="19"/>
        <v>0.9</v>
      </c>
      <c r="D69">
        <v>0.1</v>
      </c>
      <c r="E69">
        <f>H69^F$4</f>
        <v>0</v>
      </c>
      <c r="F69" s="3">
        <f t="shared" si="20"/>
        <v>0.85381496824546244</v>
      </c>
      <c r="G69" s="2">
        <f t="shared" si="21"/>
        <v>0</v>
      </c>
      <c r="H69">
        <f>MAX((D69-C$4)/(1-C$4), 0)</f>
        <v>0</v>
      </c>
    </row>
    <row r="70" spans="1:8" x14ac:dyDescent="0.25">
      <c r="B70">
        <f>1 - D70</f>
        <v>0.85</v>
      </c>
      <c r="C70">
        <f t="shared" si="19"/>
        <v>0.85</v>
      </c>
      <c r="D70">
        <v>0.15</v>
      </c>
      <c r="E70">
        <f>H70^F$4</f>
        <v>1.30945700219731E-2</v>
      </c>
      <c r="F70" s="3">
        <f t="shared" si="20"/>
        <v>0.78366127886989534</v>
      </c>
      <c r="G70" s="2">
        <f t="shared" si="21"/>
        <v>0</v>
      </c>
      <c r="H70">
        <f>MAX((D70-C$4)/(1-C$4), 0)</f>
        <v>5.5555555555555539E-2</v>
      </c>
    </row>
    <row r="71" spans="1:8" x14ac:dyDescent="0.25">
      <c r="B71">
        <f>1 - D71</f>
        <v>0.8</v>
      </c>
      <c r="C71">
        <f t="shared" si="19"/>
        <v>0.8</v>
      </c>
      <c r="D71">
        <v>0.2</v>
      </c>
      <c r="E71">
        <f>H71^F$4</f>
        <v>3.7037037037037049E-2</v>
      </c>
      <c r="F71" s="3">
        <f t="shared" si="20"/>
        <v>0.71554175279993271</v>
      </c>
      <c r="G71" s="2">
        <f t="shared" si="21"/>
        <v>0</v>
      </c>
      <c r="H71">
        <f>MAX((D71-C$4)/(1-C$4), 0)</f>
        <v>0.11111111111111112</v>
      </c>
    </row>
    <row r="72" spans="1:8" x14ac:dyDescent="0.25">
      <c r="B72">
        <f>1 - D72</f>
        <v>0.75</v>
      </c>
      <c r="C72">
        <f t="shared" si="19"/>
        <v>0.75</v>
      </c>
      <c r="D72">
        <v>0.25</v>
      </c>
      <c r="E72">
        <f>H72^F$4</f>
        <v>6.8041381743977156E-2</v>
      </c>
      <c r="F72" s="3">
        <f t="shared" si="20"/>
        <v>0.649519052838329</v>
      </c>
      <c r="G72" s="2">
        <f t="shared" si="21"/>
        <v>0</v>
      </c>
      <c r="H72">
        <f>MAX((D72-C$4)/(1-C$4), 0)</f>
        <v>0.16666666666666666</v>
      </c>
    </row>
    <row r="73" spans="1:8" x14ac:dyDescent="0.25">
      <c r="B73">
        <f>1 - D73</f>
        <v>0.7</v>
      </c>
      <c r="C73">
        <f t="shared" si="19"/>
        <v>0.7</v>
      </c>
      <c r="D73">
        <v>0.3</v>
      </c>
      <c r="E73">
        <f>H73^F$4</f>
        <v>0.10475656017578483</v>
      </c>
      <c r="F73" s="3">
        <f t="shared" si="20"/>
        <v>0.58566201857385281</v>
      </c>
      <c r="G73" s="2">
        <f t="shared" si="21"/>
        <v>0</v>
      </c>
      <c r="H73">
        <f>MAX((D73-C$4)/(1-C$4), 0)</f>
        <v>0.22222222222222221</v>
      </c>
    </row>
    <row r="74" spans="1:8" x14ac:dyDescent="0.25">
      <c r="B74">
        <f>1 - D74</f>
        <v>0.65</v>
      </c>
      <c r="C74">
        <f t="shared" si="19"/>
        <v>0.65</v>
      </c>
      <c r="D74">
        <v>0.35</v>
      </c>
      <c r="E74">
        <f>H74^F$4</f>
        <v>0.14640174352631383</v>
      </c>
      <c r="F74" s="3">
        <f t="shared" si="20"/>
        <v>0.52404675363940567</v>
      </c>
      <c r="G74" s="2">
        <f t="shared" si="21"/>
        <v>0</v>
      </c>
      <c r="H74">
        <f>MAX((D74-C$4)/(1-C$4), 0)</f>
        <v>0.27777777777777773</v>
      </c>
    </row>
    <row r="75" spans="1:8" x14ac:dyDescent="0.25">
      <c r="B75">
        <f>1 - D75</f>
        <v>0.6</v>
      </c>
      <c r="C75">
        <f t="shared" si="19"/>
        <v>0.6</v>
      </c>
      <c r="D75">
        <v>0.4</v>
      </c>
      <c r="E75">
        <f>H75^F$4</f>
        <v>0.19245008972987529</v>
      </c>
      <c r="F75" s="3">
        <f t="shared" si="20"/>
        <v>0.46475800154489</v>
      </c>
      <c r="G75" s="2">
        <f t="shared" si="21"/>
        <v>0</v>
      </c>
      <c r="H75">
        <f>MAX((D75-C$4)/(1-C$4), 0)</f>
        <v>0.33333333333333337</v>
      </c>
    </row>
    <row r="76" spans="1:8" x14ac:dyDescent="0.25">
      <c r="B76">
        <f>1 - D76</f>
        <v>0.55000000000000004</v>
      </c>
      <c r="C76">
        <f t="shared" si="19"/>
        <v>0.55000000000000004</v>
      </c>
      <c r="D76">
        <v>0.45</v>
      </c>
      <c r="E76">
        <f>H76^F$4</f>
        <v>0.2425148306242369</v>
      </c>
      <c r="F76" s="3">
        <f t="shared" si="20"/>
        <v>0.40789091679026152</v>
      </c>
      <c r="G76" s="2">
        <f t="shared" si="21"/>
        <v>0</v>
      </c>
      <c r="H76">
        <f>MAX((D76-C$4)/(1-C$4), 0)</f>
        <v>0.38888888888888884</v>
      </c>
    </row>
    <row r="77" spans="1:8" x14ac:dyDescent="0.25">
      <c r="B77">
        <f>1 - D77</f>
        <v>0.5</v>
      </c>
      <c r="C77">
        <f t="shared" si="19"/>
        <v>0.5</v>
      </c>
      <c r="D77">
        <v>0.5</v>
      </c>
      <c r="E77">
        <f>H77^F$4</f>
        <v>0.29629629629629634</v>
      </c>
      <c r="F77" s="3">
        <f t="shared" si="20"/>
        <v>0.35355339059327379</v>
      </c>
      <c r="G77" s="2">
        <f t="shared" si="21"/>
        <v>0</v>
      </c>
      <c r="H77">
        <f>MAX((D77-C$4)/(1-C$4), 0)</f>
        <v>0.44444444444444448</v>
      </c>
    </row>
    <row r="78" spans="1:8" x14ac:dyDescent="0.25">
      <c r="B78">
        <f>1 - D78</f>
        <v>0.44999999999999996</v>
      </c>
      <c r="C78">
        <f t="shared" si="19"/>
        <v>0.44999999999999996</v>
      </c>
      <c r="D78">
        <v>0.55000000000000004</v>
      </c>
      <c r="E78">
        <f>H78^F$4</f>
        <v>0.3535533905932739</v>
      </c>
      <c r="F78" s="3">
        <f t="shared" si="20"/>
        <v>0.30186917696247156</v>
      </c>
      <c r="G78" s="2">
        <f t="shared" si="21"/>
        <v>0</v>
      </c>
      <c r="H78">
        <f>MAX((D78-C$4)/(1-C$4), 0)</f>
        <v>0.50000000000000011</v>
      </c>
    </row>
    <row r="79" spans="1:8" x14ac:dyDescent="0.25">
      <c r="B79">
        <f>1 - D79</f>
        <v>0.4</v>
      </c>
      <c r="C79">
        <f t="shared" si="19"/>
        <v>0.4</v>
      </c>
      <c r="D79">
        <v>0.6</v>
      </c>
      <c r="E79">
        <f>H79^F$4</f>
        <v>0.41408666249996112</v>
      </c>
      <c r="F79" s="3">
        <f t="shared" si="20"/>
        <v>0.25298221281347039</v>
      </c>
      <c r="G79" s="2">
        <f t="shared" si="21"/>
        <v>0</v>
      </c>
      <c r="H79">
        <f>MAX((D79-C$4)/(1-C$4), 0)</f>
        <v>0.55555555555555558</v>
      </c>
    </row>
    <row r="80" spans="1:8" x14ac:dyDescent="0.25">
      <c r="B80">
        <f>1 - D80</f>
        <v>0.35</v>
      </c>
      <c r="C80">
        <f t="shared" si="19"/>
        <v>0.35</v>
      </c>
      <c r="D80">
        <v>0.65</v>
      </c>
      <c r="E80">
        <f>H80^F$4</f>
        <v>0.47772753109312716</v>
      </c>
      <c r="F80" s="3">
        <f t="shared" si="20"/>
        <v>0.20706279240848652</v>
      </c>
      <c r="G80" s="2">
        <f t="shared" si="21"/>
        <v>0</v>
      </c>
      <c r="H80">
        <f>MAX((D80-C$4)/(1-C$4), 0)</f>
        <v>0.61111111111111116</v>
      </c>
    </row>
    <row r="81" spans="2:8" x14ac:dyDescent="0.25">
      <c r="B81">
        <f>1 - D81</f>
        <v>0.30000000000000004</v>
      </c>
      <c r="C81">
        <f t="shared" si="19"/>
        <v>0.30000000000000004</v>
      </c>
      <c r="D81">
        <v>0.7</v>
      </c>
      <c r="E81">
        <f>H81^F$4</f>
        <v>0.54433105395181725</v>
      </c>
      <c r="F81" s="3">
        <f t="shared" si="20"/>
        <v>0.16431676725154987</v>
      </c>
      <c r="G81" s="2">
        <f t="shared" si="21"/>
        <v>0</v>
      </c>
      <c r="H81">
        <f>MAX((D81-C$4)/(1-C$4), 0)</f>
        <v>0.66666666666666663</v>
      </c>
    </row>
    <row r="82" spans="2:8" x14ac:dyDescent="0.25">
      <c r="B82">
        <f>1 - D82</f>
        <v>0.25</v>
      </c>
      <c r="C82">
        <f t="shared" si="19"/>
        <v>0.25</v>
      </c>
      <c r="D82">
        <v>0.75</v>
      </c>
      <c r="E82">
        <f>H82^F$4</f>
        <v>0.61377086737690922</v>
      </c>
      <c r="F82" s="3">
        <f t="shared" si="20"/>
        <v>0.12500000000000003</v>
      </c>
      <c r="G82" s="2">
        <f t="shared" si="21"/>
        <v>0</v>
      </c>
      <c r="H82">
        <f>MAX((D82-C$4)/(1-C$4), 0)</f>
        <v>0.72222222222222221</v>
      </c>
    </row>
    <row r="83" spans="2:8" x14ac:dyDescent="0.25">
      <c r="B83">
        <f>1 - D83</f>
        <v>0.19999999999999996</v>
      </c>
      <c r="C83">
        <f t="shared" si="19"/>
        <v>0.19999999999999996</v>
      </c>
      <c r="D83">
        <v>0.8</v>
      </c>
      <c r="E83">
        <f>H83^F$4</f>
        <v>0.68593552509081979</v>
      </c>
      <c r="F83" s="3">
        <f t="shared" si="20"/>
        <v>8.9442719099991574E-2</v>
      </c>
      <c r="G83" s="2">
        <f t="shared" si="21"/>
        <v>0</v>
      </c>
      <c r="H83">
        <f>MAX((D83-C$4)/(1-C$4), 0)</f>
        <v>0.77777777777777779</v>
      </c>
    </row>
    <row r="84" spans="2:8" x14ac:dyDescent="0.25">
      <c r="B84">
        <f>1 - D84</f>
        <v>0.15000000000000002</v>
      </c>
      <c r="C84">
        <f t="shared" si="19"/>
        <v>0.15000000000000002</v>
      </c>
      <c r="D84">
        <v>0.85</v>
      </c>
      <c r="E84">
        <f>H84^F$4</f>
        <v>0.76072577431273058</v>
      </c>
      <c r="F84" s="3">
        <f t="shared" si="20"/>
        <v>5.8094750193111278E-2</v>
      </c>
      <c r="G84" s="2">
        <f t="shared" si="21"/>
        <v>0</v>
      </c>
      <c r="H84">
        <f>MAX((D84-C$4)/(1-C$4), 0)</f>
        <v>0.83333333333333326</v>
      </c>
    </row>
    <row r="85" spans="2:8" x14ac:dyDescent="0.25">
      <c r="B85">
        <f>1 - D85</f>
        <v>9.9999999999999978E-2</v>
      </c>
      <c r="C85">
        <f t="shared" si="19"/>
        <v>9.9999999999999978E-2</v>
      </c>
      <c r="D85">
        <v>0.9</v>
      </c>
      <c r="E85">
        <f>H85^F$4</f>
        <v>0.83805248140627864</v>
      </c>
      <c r="F85" s="3">
        <f t="shared" si="20"/>
        <v>3.1622776601683784E-2</v>
      </c>
      <c r="G85" s="2">
        <f t="shared" si="21"/>
        <v>0</v>
      </c>
      <c r="H85">
        <f>MAX((D85-C$4)/(1-C$4), 0)</f>
        <v>0.88888888888888895</v>
      </c>
    </row>
    <row r="86" spans="2:8" x14ac:dyDescent="0.25">
      <c r="B86">
        <f>1 - D86</f>
        <v>5.0000000000000044E-2</v>
      </c>
      <c r="C86">
        <f t="shared" si="19"/>
        <v>5.0000000000000044E-2</v>
      </c>
      <c r="D86">
        <v>0.95</v>
      </c>
      <c r="E86">
        <f>H86^F$4</f>
        <v>0.91783502048490839</v>
      </c>
      <c r="F86" s="3">
        <f t="shared" si="20"/>
        <v>1.1180339887498968E-2</v>
      </c>
      <c r="G86" s="2">
        <f t="shared" si="21"/>
        <v>0</v>
      </c>
      <c r="H86">
        <f>MAX((D86-C$4)/(1-C$4), 0)</f>
        <v>0.94444444444444442</v>
      </c>
    </row>
    <row r="87" spans="2:8" x14ac:dyDescent="0.25">
      <c r="B87">
        <f>1 - D87</f>
        <v>0</v>
      </c>
      <c r="C87">
        <f t="shared" si="19"/>
        <v>0</v>
      </c>
      <c r="D87">
        <v>1</v>
      </c>
      <c r="E87">
        <f>H87^F$4</f>
        <v>1</v>
      </c>
      <c r="F87" s="3">
        <f t="shared" si="20"/>
        <v>0</v>
      </c>
      <c r="G87" s="2" t="e">
        <f t="shared" si="21"/>
        <v>#DIV/0!</v>
      </c>
      <c r="H87">
        <f>MAX((D87-C$4)/(1-C$4), 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Sondre Erdi Solbakken</dc:creator>
  <cp:lastModifiedBy>Sondre Erdi Solbakken</cp:lastModifiedBy>
  <dcterms:created xsi:type="dcterms:W3CDTF">2026-03-24T13:49:34Z</dcterms:created>
  <dcterms:modified xsi:type="dcterms:W3CDTF">2026-03-24T17:01:51Z</dcterms:modified>
</cp:coreProperties>
</file>